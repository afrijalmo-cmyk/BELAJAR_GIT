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tables/table1.xml" ContentType="application/vnd.openxmlformats-officedocument.spreadsheetml.tab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tables/table2.xml" ContentType="application/vnd.openxmlformats-officedocument.spreadsheetml.table+xml"/>
  <Override PartName="/xl/queryTables/queryTable1.xml" ContentType="application/vnd.openxmlformats-officedocument.spreadsheetml.queryTable+xml"/>
  <Override PartName="/xl/tables/table3.xml" ContentType="application/vnd.openxmlformats-officedocument.spreadsheetml.table+xml"/>
  <Override PartName="/xl/queryTables/queryTable2.xml" ContentType="application/vnd.openxmlformats-officedocument.spreadsheetml.query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drawings/drawing3.xml" ContentType="application/vnd.openxmlformats-officedocument.drawing+xml"/>
  <Override PartName="/xl/tables/table4.xml" ContentType="application/vnd.openxmlformats-officedocument.spreadsheetml.table+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ables/table5.xml" ContentType="application/vnd.openxmlformats-officedocument.spreadsheetml.table+xml"/>
  <Override PartName="/xl/queryTables/queryTable3.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D:\"/>
    </mc:Choice>
  </mc:AlternateContent>
  <xr:revisionPtr revIDLastSave="0" documentId="13_ncr:1_{BA3244AE-5C10-4463-9DA3-DC25DBA8F6CD}" xr6:coauthVersionLast="47" xr6:coauthVersionMax="47" xr10:uidLastSave="{00000000-0000-0000-0000-000000000000}"/>
  <bookViews>
    <workbookView xWindow="-110" yWindow="-110" windowWidth="19420" windowHeight="10300" xr2:uid="{A3E9590A-8E5F-4EB3-8AC5-889C44886A1B}"/>
  </bookViews>
  <sheets>
    <sheet name="DASHBOARD" sheetId="11" r:id="rId1"/>
    <sheet name="DATA CASH" sheetId="14" state="hidden" r:id="rId2"/>
    <sheet name="PV" sheetId="20" r:id="rId3"/>
    <sheet name="DATA SP" sheetId="13" r:id="rId4"/>
    <sheet name="DATA LOP" sheetId="9" r:id="rId5"/>
    <sheet name="DASHBORAD PM" sheetId="19" r:id="rId6"/>
    <sheet name="BUDGETING &amp; REALISATION" sheetId="15" r:id="rId7"/>
  </sheets>
  <definedNames>
    <definedName name="_xlnm._FilterDatabase" localSheetId="1" hidden="1">'DATA CASH'!$A$6:$D$212</definedName>
    <definedName name="ExternalData_1" localSheetId="6" hidden="1">'BUDGETING &amp; REALISATION'!$A$1:$F$9</definedName>
    <definedName name="ExternalData_1" localSheetId="4" hidden="1">'DATA LOP'!$A$1:$K$29</definedName>
    <definedName name="ExternalData_1" localSheetId="3" hidden="1">'DATA SP'!$A$1:$G$9</definedName>
    <definedName name="_xlnm.Print_Area" localSheetId="0">DASHBOARD!$A$1:$Q$40</definedName>
    <definedName name="Slicer_Months__TANGGAL_SHARE_ORDER1">#N/A</definedName>
    <definedName name="Slicer_NAMA_PEKERJAAN1">#N/A</definedName>
    <definedName name="Slicer_NAMA_PEKERJAAN2">#N/A</definedName>
    <definedName name="Slicer_TANGGAL">#N/A</definedName>
  </definedNames>
  <calcPr calcId="191029"/>
  <pivotCaches>
    <pivotCache cacheId="0" r:id="rId8"/>
    <pivotCache cacheId="1" r:id="rId9"/>
    <pivotCache cacheId="2" r:id="rId10"/>
    <pivotCache cacheId="4" r:id="rId11"/>
    <pivotCache cacheId="11" r:id="rId12"/>
  </pivotCaches>
  <extLst>
    <ext xmlns:x14="http://schemas.microsoft.com/office/spreadsheetml/2009/9/main" uri="{BBE1A952-AA13-448e-AADC-164F8A28A991}">
      <x14:slicerCaches>
        <x14:slicerCache r:id="rId13"/>
        <x14:slicerCache r:id="rId14"/>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21" i="20" l="1"/>
  <c r="B1" i="20"/>
  <c r="A1" i="20"/>
  <c r="BJ32" i="19"/>
  <c r="U9" i="19"/>
  <c r="T9" i="19"/>
  <c r="R9" i="19"/>
  <c r="U8" i="19"/>
  <c r="T8" i="19"/>
  <c r="R8" i="19"/>
  <c r="U7" i="19"/>
  <c r="T7" i="19"/>
  <c r="R7" i="19"/>
  <c r="U6" i="19"/>
  <c r="T6" i="19"/>
  <c r="R6" i="19"/>
  <c r="U5" i="19"/>
  <c r="T5" i="19"/>
  <c r="R5" i="19"/>
  <c r="U4" i="19"/>
  <c r="T4" i="19"/>
  <c r="R4" i="19"/>
  <c r="U3" i="19"/>
  <c r="T3" i="19"/>
  <c r="R3" i="19"/>
  <c r="R2" i="19"/>
  <c r="K3" i="9"/>
  <c r="K4" i="9"/>
  <c r="K5" i="9"/>
  <c r="K6" i="9"/>
  <c r="K7" i="9"/>
  <c r="K8" i="9"/>
  <c r="K9" i="9"/>
  <c r="K10" i="9"/>
  <c r="K11" i="9"/>
  <c r="K12" i="9"/>
  <c r="K13" i="9"/>
  <c r="K14" i="9"/>
  <c r="K15" i="9"/>
  <c r="K16" i="9"/>
  <c r="K17" i="9"/>
  <c r="K18" i="9"/>
  <c r="K19" i="9"/>
  <c r="K20" i="9"/>
  <c r="K21" i="9"/>
  <c r="K22" i="9"/>
  <c r="K23" i="9"/>
  <c r="K24" i="9"/>
  <c r="K25" i="9"/>
  <c r="K26" i="9"/>
  <c r="K27" i="9"/>
  <c r="K28" i="9"/>
  <c r="K29" i="9"/>
  <c r="K2" i="9"/>
  <c r="C3" i="14" l="1"/>
  <c r="H10" i="15" l="1"/>
  <c r="G7" i="15" l="1"/>
  <c r="G3" i="15"/>
  <c r="K3" i="15" s="1"/>
  <c r="G9" i="15"/>
  <c r="F8" i="15"/>
  <c r="G6" i="15"/>
  <c r="G5" i="15"/>
  <c r="G4" i="15"/>
  <c r="K4" i="15" s="1"/>
  <c r="G2" i="15"/>
  <c r="K2" i="15" l="1"/>
  <c r="T2" i="19"/>
  <c r="U2" i="19"/>
  <c r="I9" i="15"/>
  <c r="K9" i="15"/>
  <c r="J9" i="15"/>
  <c r="G8" i="15"/>
  <c r="J8" i="15" s="1"/>
  <c r="F10" i="15"/>
  <c r="I7" i="15"/>
  <c r="K7" i="15"/>
  <c r="J7" i="15"/>
  <c r="I5" i="15"/>
  <c r="K5" i="15"/>
  <c r="J5" i="15"/>
  <c r="I6" i="15"/>
  <c r="K6" i="15"/>
  <c r="J6" i="15"/>
  <c r="I4" i="15"/>
  <c r="J4" i="15"/>
  <c r="I3" i="15"/>
  <c r="J3" i="15"/>
  <c r="I2" i="15"/>
  <c r="J2" i="15"/>
  <c r="D113" i="14"/>
  <c r="A3" i="14" s="1"/>
  <c r="A5" i="14" s="1"/>
  <c r="G10" i="15" l="1"/>
  <c r="K8" i="15"/>
  <c r="I8" i="15"/>
  <c r="J10" i="15"/>
  <c r="J3" i="9"/>
  <c r="J4" i="9"/>
  <c r="J5" i="9"/>
  <c r="J6" i="9"/>
  <c r="J7" i="9"/>
  <c r="J8" i="9"/>
  <c r="J9" i="9"/>
  <c r="J10" i="9"/>
  <c r="J11" i="9"/>
  <c r="J12" i="9"/>
  <c r="J13" i="9"/>
  <c r="J14" i="9"/>
  <c r="J15" i="9"/>
  <c r="J16" i="9"/>
  <c r="J17" i="9"/>
  <c r="J18" i="9"/>
  <c r="J19" i="9"/>
  <c r="J20" i="9"/>
  <c r="J21" i="9"/>
  <c r="J22" i="9"/>
  <c r="J23" i="9"/>
  <c r="J24" i="9"/>
  <c r="J25" i="9"/>
  <c r="J26" i="9"/>
  <c r="J27" i="9"/>
  <c r="J2" i="9"/>
  <c r="F8" i="13"/>
  <c r="F7" i="13"/>
  <c r="F6" i="13"/>
  <c r="F5" i="13"/>
  <c r="F4" i="13"/>
  <c r="F3" i="13"/>
  <c r="F2" i="13"/>
  <c r="K10" i="15" l="1"/>
  <c r="K11" i="15"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0834E01-97C5-46D5-A697-F89F92216EE3}"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 id="2" xr16:uid="{6BE291AF-2AD2-4823-941C-39BFB6172665}" keepAlive="1" name="Query - Table3" description="Connection to the 'Table3' query in the workbook." type="5" refreshedVersion="0" background="1">
    <dbPr connection="Provider=Microsoft.Mashup.OleDb.1;Data Source=$Workbook$;Location=Table3;Extended Properties=&quot;&quot;" command="SELECT * FROM [Table3]"/>
  </connection>
  <connection id="3" xr16:uid="{335C846E-3BA8-48C6-9D02-22FD0AB05067}" keepAlive="1" name="Query - Table3 (2)" description="Connection to the 'Table3 (2)' query in the workbook." type="5" refreshedVersion="8" background="1" saveData="1">
    <dbPr connection="Provider=Microsoft.Mashup.OleDb.1;Data Source=$Workbook$;Location=&quot;Table3 (2)&quot;;Extended Properties=&quot;&quot;" command="SELECT * FROM [Table3 (2)]"/>
  </connection>
  <connection id="4" xr16:uid="{F4F98371-CB38-456B-A575-4979E6B1658C}" keepAlive="1" name="Query - Table3 (3)" description="Connection to the 'Table3 (3)' query in the workbook." type="5" refreshedVersion="8" background="1" saveData="1">
    <dbPr connection="Provider=Microsoft.Mashup.OleDb.1;Data Source=$Workbook$;Location=&quot;Table3 (3)&quot;;Extended Properties=&quot;&quot;" command="SELECT * FROM [Table3 (3)]"/>
  </connection>
</connections>
</file>

<file path=xl/sharedStrings.xml><?xml version="1.0" encoding="utf-8"?>
<sst xmlns="http://schemas.openxmlformats.org/spreadsheetml/2006/main" count="834" uniqueCount="235">
  <si>
    <t>NO</t>
  </si>
  <si>
    <t>KATEGORI</t>
  </si>
  <si>
    <t>NAMA LOP</t>
  </si>
  <si>
    <t>TANGGAL SHARE ORDER</t>
  </si>
  <si>
    <t>KETERANGAN</t>
  </si>
  <si>
    <t>NILAI</t>
  </si>
  <si>
    <t>SURVEY</t>
  </si>
  <si>
    <t>DRM</t>
  </si>
  <si>
    <t>PO</t>
  </si>
  <si>
    <t>UJI TERIMA</t>
  </si>
  <si>
    <t>REKON MATERIAL</t>
  </si>
  <si>
    <t>BAST</t>
  </si>
  <si>
    <t>JNP037</t>
  </si>
  <si>
    <t>4400047956/HK.810/TA-370002/01.2026</t>
  </si>
  <si>
    <t>JNP067</t>
  </si>
  <si>
    <t>BLK065</t>
  </si>
  <si>
    <t>4400048812/HK.810/TA-370002/03.2026</t>
  </si>
  <si>
    <t>BLK044</t>
  </si>
  <si>
    <t>UPD708</t>
  </si>
  <si>
    <t>DROP</t>
  </si>
  <si>
    <t>UPD707</t>
  </si>
  <si>
    <t>UPD718</t>
  </si>
  <si>
    <t>MRS202</t>
  </si>
  <si>
    <t>SNS230</t>
  </si>
  <si>
    <t>SNS231</t>
  </si>
  <si>
    <t>UPD739</t>
  </si>
  <si>
    <t>4200040829/HK.810/TA-370002/04.2026</t>
  </si>
  <si>
    <t>UPD740</t>
  </si>
  <si>
    <t>UPD736</t>
  </si>
  <si>
    <t>UPD699</t>
  </si>
  <si>
    <t>UPD710</t>
  </si>
  <si>
    <t>UPD663</t>
  </si>
  <si>
    <t>WTP192</t>
  </si>
  <si>
    <t>PROGRES LAPANGAN</t>
  </si>
  <si>
    <t>R5 MKS WTP PT3 MD 1650 CORAWALIE</t>
  </si>
  <si>
    <t>R5 MKS WTP PT3 MD DESA MICO</t>
  </si>
  <si>
    <t>DONE INSTALL 100%</t>
  </si>
  <si>
    <t>R5 MKS WTP PT3 MD Bone jln Biru</t>
  </si>
  <si>
    <t>R5 MKS WTP PT3 MD PATTIRO RIOLO</t>
  </si>
  <si>
    <t>MITRATEL</t>
  </si>
  <si>
    <t>WO#234 SILANGGA_KARENPIA_PL - TOMBOLO_PAO_AG</t>
  </si>
  <si>
    <t>1032/HK-810/TA.0207/04-2026</t>
  </si>
  <si>
    <t>HEM</t>
  </si>
  <si>
    <t>HEM SATU SAMA JAYA ABADI</t>
  </si>
  <si>
    <t>Site Perwakilan Prov. Sulawesi Selatan (BPK Provinsi Sulawesi Selatan)</t>
  </si>
  <si>
    <t>PT2-BLK-KUA UJUNG BULU</t>
  </si>
  <si>
    <t>Site Balai Diklat Gowa (BDPKN Gowa)</t>
  </si>
  <si>
    <t>NAMA PEKERJAAN</t>
  </si>
  <si>
    <t>JENIS PEKERJAAN</t>
  </si>
  <si>
    <t>NO SP</t>
  </si>
  <si>
    <t>PENGADAAN DAN PEMASANGAN PEKERJAAN NODE-B JNP037 JNP067 WITEL MAKASSAR</t>
  </si>
  <si>
    <t>PENGADAAN DAN PEMASANGAN PEKERJAAN NODE-B 8 LOP BRANCH MAKASSAR</t>
  </si>
  <si>
    <t>TANGGAL</t>
  </si>
  <si>
    <t>PENGADAAN DAN PEMASANGAN PEKERJAAN NODE-B 6 LOP BRANCH MAKASSAR</t>
  </si>
  <si>
    <t>PENGADAAN DAN PEMASANGAN PEKERJAAN JPP 4 LOP WITEL MAKASSAR</t>
  </si>
  <si>
    <t>JPP MD</t>
  </si>
  <si>
    <t>PENGADAAN DAN PEMASANGAN PEKERJAAN MITRATEL WO#234 BRANCH MAKASSAR</t>
  </si>
  <si>
    <t>PENGADAAN DAN PEMASANGAN PEKERJAAN HEM 4 LOP BRANCH MAKASSAR</t>
  </si>
  <si>
    <t>PENGADAAN DAN PEMASANGAN PEKERJAAN NODE-B 1 LOP WTP192 BRANCH MAKASSAR</t>
  </si>
  <si>
    <t>4400050203/HK.810/TA-370002/05.2026</t>
  </si>
  <si>
    <t>4400050084/HK.810/TA-370002/05.2026</t>
  </si>
  <si>
    <t>VERIFIKASI AREA</t>
  </si>
  <si>
    <t>VERIFIKASI REGIONAL</t>
  </si>
  <si>
    <t>INVOICED</t>
  </si>
  <si>
    <t>CLOSED</t>
  </si>
  <si>
    <t>4400050523/HK.810/TA-370002/06.2026</t>
  </si>
  <si>
    <t>NODE-B</t>
  </si>
  <si>
    <t>MENUNGGU BOQ UT</t>
  </si>
  <si>
    <t>PROGRES DOKUMEN CT/UT</t>
  </si>
  <si>
    <t>MENUNGGU JADWAL UT</t>
  </si>
  <si>
    <t>PRESENTASI PROJECT</t>
  </si>
  <si>
    <t>Grand Total</t>
  </si>
  <si>
    <t>Sum of NILAI</t>
  </si>
  <si>
    <t>PENGADAAN DAN PEMASANGAN PEKERJAAN NODE B 2 LOP BRANCH MAKASSAR</t>
  </si>
  <si>
    <t>NOT AVAILABLE</t>
  </si>
  <si>
    <t>UPD770</t>
  </si>
  <si>
    <t>UPD860</t>
  </si>
  <si>
    <t>Jan</t>
  </si>
  <si>
    <t>Feb</t>
  </si>
  <si>
    <t>Mar</t>
  </si>
  <si>
    <t>Apr</t>
  </si>
  <si>
    <t>May</t>
  </si>
  <si>
    <t>Jul</t>
  </si>
  <si>
    <t>NODE B 8 LOP</t>
  </si>
  <si>
    <t>NODE B 6 LOP</t>
  </si>
  <si>
    <t>JPP 4 LOP</t>
  </si>
  <si>
    <t>NODE B WTP192</t>
  </si>
  <si>
    <t>NODE B 2 LOP JNP</t>
  </si>
  <si>
    <t>MITRATEL WO#234</t>
  </si>
  <si>
    <t>NODE B 2 LOP MAT</t>
  </si>
  <si>
    <t>CATATAN KAS</t>
  </si>
  <si>
    <t>Row Labels</t>
  </si>
  <si>
    <t>Aug</t>
  </si>
  <si>
    <t>Column Labels</t>
  </si>
  <si>
    <t>Sum of CATATAN KAS</t>
  </si>
  <si>
    <t>JENIS DATA</t>
  </si>
  <si>
    <t>KAS MASUK</t>
  </si>
  <si>
    <t>PEMBAYARAN WIFI PERIODE JANUARI</t>
  </si>
  <si>
    <t>KAS KELUAR</t>
  </si>
  <si>
    <t>DP MANDOR JNP037</t>
  </si>
  <si>
    <t>SEWA GUDANG &amp; DP MANDOR JNP067</t>
  </si>
  <si>
    <t>KASBON MANDOR</t>
  </si>
  <si>
    <t>OPERASIONAL BENSIN DAN SEWA MOBIL</t>
  </si>
  <si>
    <t>BAYARAN JOINTER</t>
  </si>
  <si>
    <t>PEMBELIAN PIPA KONDUIT</t>
  </si>
  <si>
    <t>PEMBAYARAN JOINTER</t>
  </si>
  <si>
    <t>OPERASIONAL KE JNP</t>
  </si>
  <si>
    <t>PELUNASAN MANDOR</t>
  </si>
  <si>
    <t>PEMBAYARAN GAJI TEAM PROJECT</t>
  </si>
  <si>
    <t xml:space="preserve">OPERASIONAL </t>
  </si>
  <si>
    <t>PELUNASAN JOINTER</t>
  </si>
  <si>
    <t>SEWA KENDARAAN</t>
  </si>
  <si>
    <t>BBM</t>
  </si>
  <si>
    <t>GANTI RUGI MOBIL</t>
  </si>
  <si>
    <t>KONSUMSI</t>
  </si>
  <si>
    <t>PEMBAYARAN WIFI KANTOR PERIODE FEBRUARI</t>
  </si>
  <si>
    <t>KASBON MANDOR UPD707</t>
  </si>
  <si>
    <t>PEMBELIAN SEMEN &amp; KASBON UPD707</t>
  </si>
  <si>
    <t>PELUNASAN UPD707</t>
  </si>
  <si>
    <t>KASBON MANDOR UPD718</t>
  </si>
  <si>
    <t>PELUNASAN UPD718</t>
  </si>
  <si>
    <t>KASBON MANDOR MRS202</t>
  </si>
  <si>
    <t>PEMBELIAN GERGAJI BESI</t>
  </si>
  <si>
    <t>CICILAN PEMBAYARAN LABEL PRITN</t>
  </si>
  <si>
    <t>TERMINASI UPD718 &amp; UPD707</t>
  </si>
  <si>
    <t>PELUNASAN MRS202</t>
  </si>
  <si>
    <t>OPERASIONAL WASPANG</t>
  </si>
  <si>
    <t>TERMINASI MRS202</t>
  </si>
  <si>
    <t>KASBON MANDOR BLK065 &amp; BLK044</t>
  </si>
  <si>
    <t>SEWA MOBIL KE BLK</t>
  </si>
  <si>
    <t>PENGINAPAN H1 BLK</t>
  </si>
  <si>
    <t>KONSUMSI H2 BLK</t>
  </si>
  <si>
    <t>BBM BLK</t>
  </si>
  <si>
    <t>PENGINAPAN H2 BLK</t>
  </si>
  <si>
    <t>KONSUMSI H3 BLK</t>
  </si>
  <si>
    <t>PEMBELIAN TERPAL</t>
  </si>
  <si>
    <t>GANTI RUGI MOBIL SEWA LECET</t>
  </si>
  <si>
    <t>PELUNASAN MANDOR BLK065 &amp; BLK044</t>
  </si>
  <si>
    <t>PEMBELIAN KASET LABEL PRINT MERAH</t>
  </si>
  <si>
    <t>PELUNASAN CICILAN LABEL PRINT</t>
  </si>
  <si>
    <t>SUPPORT UT BLK065 &amp; BLK044</t>
  </si>
  <si>
    <t>BANTUAN PENYUSUNAN DOK</t>
  </si>
  <si>
    <t>PENGECEKAN GANGGUAN DAN PASANG SPLITER</t>
  </si>
  <si>
    <t>VANDALISME BLK044</t>
  </si>
  <si>
    <t>PEMBAYARAN MANDOR PEKERJAAN UPD736 &amp; 710</t>
  </si>
  <si>
    <t>OPERASIONAL TURLAP</t>
  </si>
  <si>
    <t>PEMBAYARAN WIFI KANTOR</t>
  </si>
  <si>
    <t>KASBON JOINTER</t>
  </si>
  <si>
    <t>PEMBAYARAN MANDOR PEKERJAAN UPD663</t>
  </si>
  <si>
    <t>PINJAMAN PEKERJAAN MITRATEL</t>
  </si>
  <si>
    <t xml:space="preserve">BPJS KETENAGAKERJAAN </t>
  </si>
  <si>
    <t xml:space="preserve">BELI CONDUIT DAN JOINTER UPD663 </t>
  </si>
  <si>
    <t>PEMBAYARAN GAJI JOINTER</t>
  </si>
  <si>
    <t>UT 736 &amp; 710</t>
  </si>
  <si>
    <t>PEMBAYARAN JOINTER UPD663</t>
  </si>
  <si>
    <t>PEMBELIAN GALVANIS &amp; BIAYA INSTALASI</t>
  </si>
  <si>
    <t>PEMBAYARAN COMCASE</t>
  </si>
  <si>
    <t>BIAYA PERIJINAN LOP JL BIRU</t>
  </si>
  <si>
    <t>OPERASIONAL PERIJINAN LOP JL BIRU</t>
  </si>
  <si>
    <t>OPERASIONAL SURVEY DAN PERIJINAN NODE B 4 LOP</t>
  </si>
  <si>
    <t>DP PEKERJAAN LOP JL BIRU</t>
  </si>
  <si>
    <t>PENYELESAIAN FISIK LOP JL BIRU</t>
  </si>
  <si>
    <t>PEMBAYARAN GAJI TEAM</t>
  </si>
  <si>
    <t>DP PEKERJAAN LOP COROWALIE</t>
  </si>
  <si>
    <t>OPERASIONAL PEKERJAAN COROWALIE</t>
  </si>
  <si>
    <t>PELUNASAN JOINTER LOP JL BIRU</t>
  </si>
  <si>
    <t>PELUNASAN MANDOR LOP COROWALIE</t>
  </si>
  <si>
    <t>SEWA MOBIL DAN TEBUS ODC GENTUNGAN</t>
  </si>
  <si>
    <t>DP PEKERJAAN LOP DESA MICO</t>
  </si>
  <si>
    <t>PINJAMAN DANA UTK HEM SATU SAMA</t>
  </si>
  <si>
    <t>PEMBAYARAN WIFI KANTOR PERIODE APRIL</t>
  </si>
  <si>
    <t xml:space="preserve">PEMBAYARAN GAJI JOINTER </t>
  </si>
  <si>
    <t>PINJAMAN DANA UTK HEM PEMPROV MKS</t>
  </si>
  <si>
    <t>PEMBAYARAN JOINTER COROWALIE</t>
  </si>
  <si>
    <t>PINJAMAN DANA UTK HEM KUA BULUKUMBA</t>
  </si>
  <si>
    <t>PENGIRIMAN AKSESORIS KE DESA MICO</t>
  </si>
  <si>
    <t>PEMBAYARAN MANDOR DESA MICO</t>
  </si>
  <si>
    <t>PINJAMAN DANA UTK HEM PEMPROV GOWA</t>
  </si>
  <si>
    <t>PENGAMBILAN EVIDEN JPP JL BIRU</t>
  </si>
  <si>
    <t>PELUNASAN JONTER LOP DESA MICO</t>
  </si>
  <si>
    <t>SURVEY MITRATEL</t>
  </si>
  <si>
    <t>PEMBAYARAN JOINTER MITRATEL</t>
  </si>
  <si>
    <t>OPERASIONAL MITRATEL</t>
  </si>
  <si>
    <t>PEMBELIAN CET MITRATEL</t>
  </si>
  <si>
    <t>SEWA MOBIL PENGAMBILAN DATA</t>
  </si>
  <si>
    <t>JASA PENGAMBILAN DATA</t>
  </si>
  <si>
    <t>BIAYA OPERASIONAL CT/UT</t>
  </si>
  <si>
    <t>PEMBAYARAN WIFI KANTOR PERIODE MEI</t>
  </si>
  <si>
    <t>KUNJUNGAN PENYELESAIAN MASALAH DESA</t>
  </si>
  <si>
    <t>BIAYA SURVEY</t>
  </si>
  <si>
    <t>TEMPORER VANDALISME</t>
  </si>
  <si>
    <t>PEMBAYARAN BPJS KETENAGAKERJAAN</t>
  </si>
  <si>
    <t>PEMBAYARAN WIFI KANTOR PERIODE JUNI</t>
  </si>
  <si>
    <t>JOINTER VANDALISME</t>
  </si>
  <si>
    <t>PEMBAYARAN VANDALISME JNP037</t>
  </si>
  <si>
    <t>BIAYA UT MRS202</t>
  </si>
  <si>
    <t>PEMBAYARAN WIFI KANTOR PERIODE JULI</t>
  </si>
  <si>
    <t>PEMBAYARAN MANDOR UPD770 &amp; UPD860</t>
  </si>
  <si>
    <t>JOINTER UPD770 &amp; UPD860</t>
  </si>
  <si>
    <t>Jun</t>
  </si>
  <si>
    <t xml:space="preserve">BUDGET </t>
  </si>
  <si>
    <t>REALISASI ANGGARAN</t>
  </si>
  <si>
    <t>STATUS BUDGET</t>
  </si>
  <si>
    <t>TOTAL</t>
  </si>
  <si>
    <t>PRESENTASI PENGGUNAAN</t>
  </si>
  <si>
    <t>SISA BUDGET</t>
  </si>
  <si>
    <t>SURVEY BLK065</t>
  </si>
  <si>
    <t>SURVEY BLK044</t>
  </si>
  <si>
    <t xml:space="preserve"> </t>
  </si>
  <si>
    <t xml:space="preserve">Sum of BUDGET </t>
  </si>
  <si>
    <t>Sum of PRESENTASI PENGGUNAAN</t>
  </si>
  <si>
    <t>Sum of REALISASI ANGGARAN</t>
  </si>
  <si>
    <t>`</t>
  </si>
  <si>
    <t>Sum of SISA BUDGET</t>
  </si>
  <si>
    <t>CATATAN KEUANGAN PROJECT</t>
  </si>
  <si>
    <t>SALDO MASUK</t>
  </si>
  <si>
    <t>SALDO KELUAR</t>
  </si>
  <si>
    <t>SISA SALDO</t>
  </si>
  <si>
    <t>PEMBAYARAN WIFI KANTOR PERIODE AGUSTUS</t>
  </si>
  <si>
    <t>NILAI BOQ</t>
  </si>
  <si>
    <t>Sum of NILAI BOQ</t>
  </si>
  <si>
    <t>NODE-B JNP037 JNP067 WITEL MAKASSAR</t>
  </si>
  <si>
    <t>NODE-B 8 LOP BRANCH MAKASSAR</t>
  </si>
  <si>
    <t>NODE-B 6 LOP BRANCH MAKASSAR</t>
  </si>
  <si>
    <t>MITRATEL WO#234 BRANCH MAKASSAR</t>
  </si>
  <si>
    <t>NODE-B 1 LOP WTP192 BRANCH MAKASSAR</t>
  </si>
  <si>
    <t>JPP 4 LOP WITEL MAKASSAR</t>
  </si>
  <si>
    <t>HEM 4 LOP BRANCH MAKASSAR</t>
  </si>
  <si>
    <t>NODE B 2 LOP BRANCH MAKASSAR</t>
  </si>
  <si>
    <t>Count of NAMA PEKERJAAN</t>
  </si>
  <si>
    <t>BANTUAN ADMIN</t>
  </si>
  <si>
    <t>BUDGET REDESIGN UPD740</t>
  </si>
  <si>
    <t>PANJAR MANDOR REDESIGN UPD740</t>
  </si>
  <si>
    <t>BYAR MANDOR REDESIGN UPD740</t>
  </si>
  <si>
    <t>Sep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</si>
</sst>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1" formatCode="_-* #,##0_-;\-* #,##0_-;_-* &quot;-&quot;_-;_-@_-"/>
    <numFmt numFmtId="43" formatCode="_-* #,##0.00_-;\-* #,##0.00_-;_-* &quot;-&quot;??_-;_-@_-"/>
    <numFmt numFmtId="164" formatCode="_(* #,##0.0000_);_(* \(#,##0.0000\);_(* \-??_);_(@_)"/>
    <numFmt numFmtId="165" formatCode="#,##0\ ;&quot; (&quot;#,##0\);&quot; -&quot;#\ ;@\ "/>
    <numFmt numFmtId="166" formatCode="_ * #,##0.00_ ;_ * \-#,##0.00_ ;_ * &quot;-&quot;??_ ;_ @_ "/>
    <numFmt numFmtId="167" formatCode="_(* #,##0_);_(* \(#,##0\);_(* \-??_);_(@_)"/>
    <numFmt numFmtId="168" formatCode="&quot;Rp&quot;#,##0"/>
    <numFmt numFmtId="169" formatCode="[$-13809]dd/mm/yyyy;@"/>
    <numFmt numFmtId="170" formatCode="_-* #,##0_-;\-* #,##0_-;_-* &quot;-&quot;??_-;_-@_-"/>
    <numFmt numFmtId="171" formatCode="[$Rp-421]#,##0"/>
  </numFmts>
  <fonts count="12" x14ac:knownFonts="1">
    <font>
      <sz val="11"/>
      <color theme="1"/>
      <name val="Calibri"/>
      <family val="2"/>
      <scheme val="minor"/>
    </font>
    <font>
      <sz val="11"/>
      <color theme="1"/>
      <name val="Calibri"/>
      <family val="2"/>
      <scheme val="minor"/>
    </font>
    <font>
      <sz val="12"/>
      <color theme="1"/>
      <name val="Calibri"/>
      <family val="2"/>
      <scheme val="minor"/>
    </font>
    <font>
      <sz val="12"/>
      <color theme="1"/>
      <name val="Calibri"/>
      <family val="2"/>
      <scheme val="minor"/>
    </font>
    <font>
      <sz val="11"/>
      <name val="Calibri"/>
      <family val="2"/>
    </font>
    <font>
      <sz val="10"/>
      <name val="Arial"/>
      <family val="2"/>
    </font>
    <font>
      <sz val="12"/>
      <name val="Times New Roman"/>
      <family val="1"/>
    </font>
    <font>
      <sz val="10"/>
      <name val="Mangal"/>
      <family val="1"/>
    </font>
    <font>
      <sz val="11"/>
      <color indexed="8"/>
      <name val="Calibri"/>
      <family val="2"/>
    </font>
    <font>
      <b/>
      <sz val="11"/>
      <color theme="1"/>
      <name val="Calibri"/>
      <family val="2"/>
      <scheme val="minor"/>
    </font>
    <font>
      <b/>
      <sz val="11"/>
      <color theme="0"/>
      <name val="Calibri"/>
      <family val="2"/>
      <scheme val="minor"/>
    </font>
    <font>
      <sz val="11"/>
      <color theme="0"/>
      <name val="Calibri"/>
      <family val="2"/>
      <scheme val="minor"/>
    </font>
  </fonts>
  <fills count="10">
    <fill>
      <patternFill patternType="none"/>
    </fill>
    <fill>
      <patternFill patternType="gray125"/>
    </fill>
    <fill>
      <patternFill patternType="solid">
        <fgColor theme="0"/>
        <bgColor indexed="64"/>
      </patternFill>
    </fill>
    <fill>
      <patternFill patternType="solid">
        <fgColor theme="5" tint="-0.499984740745262"/>
        <bgColor theme="5" tint="-0.499984740745262"/>
      </patternFill>
    </fill>
    <fill>
      <patternFill patternType="solid">
        <fgColor theme="4" tint="-0.249977111117893"/>
        <bgColor indexed="64"/>
      </patternFill>
    </fill>
    <fill>
      <patternFill patternType="solid">
        <fgColor rgb="FF00B050"/>
        <bgColor indexed="64"/>
      </patternFill>
    </fill>
    <fill>
      <patternFill patternType="solid">
        <fgColor rgb="FFFF0000"/>
        <bgColor indexed="64"/>
      </patternFill>
    </fill>
    <fill>
      <patternFill patternType="solid">
        <fgColor theme="5"/>
        <bgColor theme="5"/>
      </patternFill>
    </fill>
    <fill>
      <patternFill patternType="solid">
        <fgColor theme="1"/>
        <bgColor theme="1"/>
      </patternFill>
    </fill>
    <fill>
      <patternFill patternType="solid">
        <fgColor theme="5" tint="-0.249977111117893"/>
        <bgColor theme="5" tint="-0.249977111117893"/>
      </patternFill>
    </fill>
  </fills>
  <borders count="12">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medium">
        <color theme="0"/>
      </top>
      <bottom/>
      <diagonal/>
    </border>
    <border>
      <left/>
      <right/>
      <top/>
      <bottom style="medium">
        <color theme="0"/>
      </bottom>
      <diagonal/>
    </border>
  </borders>
  <cellStyleXfs count="159">
    <xf numFmtId="0" fontId="0" fillId="0" borderId="0"/>
    <xf numFmtId="0" fontId="2" fillId="0" borderId="0"/>
    <xf numFmtId="43" fontId="3" fillId="0" borderId="0" applyFont="0" applyFill="0" applyBorder="0" applyProtection="0"/>
    <xf numFmtId="9" fontId="3" fillId="0" borderId="0" applyFont="0" applyFill="0" applyBorder="0" applyProtection="0"/>
    <xf numFmtId="41" fontId="3" fillId="0" borderId="0" applyFont="0" applyFill="0" applyBorder="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41" fontId="5" fillId="0" borderId="0" applyFont="0" applyFill="0" applyBorder="0" applyProtection="0"/>
    <xf numFmtId="41" fontId="5" fillId="0" borderId="0" applyFont="0" applyFill="0" applyBorder="0" applyProtection="0"/>
    <xf numFmtId="41" fontId="5" fillId="0" borderId="0" applyFont="0" applyFill="0" applyBorder="0" applyProtection="0"/>
    <xf numFmtId="41" fontId="5" fillId="0" borderId="0" applyFont="0" applyFill="0" applyBorder="0" applyProtection="0"/>
    <xf numFmtId="41" fontId="1" fillId="0" borderId="0" applyFont="0" applyFill="0" applyBorder="0" applyProtection="0"/>
    <xf numFmtId="41" fontId="1" fillId="0" borderId="0" applyFont="0" applyFill="0" applyBorder="0" applyProtection="0"/>
    <xf numFmtId="41" fontId="1" fillId="0" borderId="0" applyFont="0" applyFill="0" applyBorder="0" applyProtection="0"/>
    <xf numFmtId="41" fontId="1" fillId="0" borderId="0" applyFont="0" applyFill="0" applyBorder="0" applyProtection="0"/>
    <xf numFmtId="41" fontId="1" fillId="0" borderId="0" applyFont="0" applyFill="0" applyBorder="0" applyProtection="0"/>
    <xf numFmtId="41" fontId="1" fillId="0" borderId="0" applyFont="0" applyFill="0" applyBorder="0" applyProtection="0"/>
    <xf numFmtId="41" fontId="1" fillId="0" borderId="0" applyFont="0" applyFill="0" applyBorder="0" applyProtection="0"/>
    <xf numFmtId="41" fontId="1" fillId="0" borderId="0" applyFont="0" applyFill="0" applyBorder="0" applyProtection="0">
      <alignment vertical="center"/>
    </xf>
    <xf numFmtId="41" fontId="1" fillId="0" borderId="0" applyFont="0" applyFill="0" applyBorder="0" applyProtection="0"/>
    <xf numFmtId="41" fontId="3" fillId="0" borderId="0" applyFont="0" applyFill="0" applyBorder="0" applyProtection="0"/>
    <xf numFmtId="41" fontId="3" fillId="0" borderId="0" applyFont="0" applyFill="0" applyBorder="0" applyProtection="0"/>
    <xf numFmtId="41" fontId="1" fillId="0" borderId="0" applyFont="0" applyFill="0" applyBorder="0" applyProtection="0">
      <alignment vertical="center"/>
    </xf>
    <xf numFmtId="41" fontId="3" fillId="0" borderId="0" applyFont="0" applyFill="0" applyBorder="0" applyProtection="0"/>
    <xf numFmtId="43" fontId="1" fillId="0" borderId="0" applyFont="0" applyFill="0" applyBorder="0" applyProtection="0"/>
    <xf numFmtId="43" fontId="1" fillId="0" borderId="0" applyFont="0" applyFill="0" applyBorder="0" applyProtection="0"/>
    <xf numFmtId="43" fontId="1" fillId="0" borderId="0" applyFont="0" applyFill="0" applyBorder="0" applyProtection="0"/>
    <xf numFmtId="43" fontId="1" fillId="0" borderId="0" applyFont="0" applyFill="0" applyBorder="0" applyProtection="0"/>
    <xf numFmtId="43" fontId="1" fillId="0" borderId="0" applyFont="0" applyFill="0" applyBorder="0" applyProtection="0"/>
    <xf numFmtId="43" fontId="1" fillId="0" borderId="0" applyFont="0" applyFill="0" applyBorder="0" applyProtection="0"/>
    <xf numFmtId="43" fontId="1" fillId="0" borderId="0" applyFont="0" applyFill="0" applyBorder="0" applyProtection="0"/>
    <xf numFmtId="43" fontId="1" fillId="0" borderId="0" applyFont="0" applyFill="0" applyBorder="0" applyProtection="0"/>
    <xf numFmtId="43" fontId="1" fillId="0" borderId="0" applyFont="0" applyFill="0" applyBorder="0" applyProtection="0"/>
    <xf numFmtId="43" fontId="1" fillId="0" borderId="0" applyFont="0" applyFill="0" applyBorder="0" applyProtection="0"/>
    <xf numFmtId="43" fontId="1" fillId="0" borderId="0" applyFont="0" applyFill="0" applyBorder="0" applyProtection="0"/>
    <xf numFmtId="43" fontId="1" fillId="0" borderId="0" applyFont="0" applyFill="0" applyBorder="0" applyProtection="0"/>
    <xf numFmtId="43" fontId="3" fillId="0" borderId="0" applyFont="0" applyFill="0" applyBorder="0" applyProtection="0"/>
    <xf numFmtId="43" fontId="1" fillId="0" borderId="0" applyFont="0" applyFill="0" applyBorder="0" applyProtection="0">
      <alignment vertical="center"/>
    </xf>
    <xf numFmtId="43" fontId="3" fillId="0" borderId="0" applyFont="0" applyFill="0" applyBorder="0" applyProtection="0"/>
    <xf numFmtId="43" fontId="6" fillId="0" borderId="0" applyFont="0" applyFill="0" applyBorder="0" applyProtection="0">
      <alignment vertical="center"/>
    </xf>
    <xf numFmtId="164" fontId="5" fillId="0" borderId="0" applyFill="0" applyBorder="0" applyProtection="0"/>
    <xf numFmtId="164" fontId="5" fillId="0" borderId="0" applyFill="0" applyBorder="0" applyProtection="0"/>
    <xf numFmtId="164" fontId="5" fillId="0" borderId="0" applyFill="0" applyBorder="0" applyProtection="0"/>
    <xf numFmtId="164" fontId="5" fillId="0" borderId="0" applyFill="0" applyBorder="0" applyProtection="0"/>
    <xf numFmtId="43" fontId="6" fillId="0" borderId="0" applyFont="0" applyFill="0" applyBorder="0" applyProtection="0">
      <alignment vertical="center"/>
    </xf>
    <xf numFmtId="43" fontId="6" fillId="0" borderId="0" applyFont="0" applyFill="0" applyBorder="0" applyProtection="0">
      <alignment vertical="center"/>
    </xf>
    <xf numFmtId="43" fontId="6" fillId="0" borderId="0" applyFont="0" applyFill="0" applyBorder="0" applyProtection="0">
      <alignment vertical="center"/>
    </xf>
    <xf numFmtId="43" fontId="6" fillId="0" borderId="0" applyFont="0" applyFill="0" applyBorder="0" applyProtection="0">
      <alignment vertical="center"/>
    </xf>
    <xf numFmtId="43" fontId="6" fillId="0" borderId="0" applyFont="0" applyFill="0" applyBorder="0" applyProtection="0">
      <alignment vertical="center"/>
    </xf>
    <xf numFmtId="165" fontId="7" fillId="0" borderId="0" applyFill="0" applyBorder="0" applyProtection="0"/>
    <xf numFmtId="43" fontId="1" fillId="0" borderId="0" applyFont="0" applyFill="0" applyBorder="0" applyProtection="0"/>
    <xf numFmtId="43" fontId="1" fillId="0" borderId="0" applyFont="0" applyFill="0" applyBorder="0" applyProtection="0"/>
    <xf numFmtId="43" fontId="1" fillId="0" borderId="0" applyFont="0" applyFill="0" applyBorder="0" applyProtection="0"/>
    <xf numFmtId="43" fontId="1" fillId="0" borderId="0" applyFont="0" applyFill="0" applyBorder="0" applyProtection="0"/>
    <xf numFmtId="43" fontId="1" fillId="0" borderId="0" applyFont="0" applyFill="0" applyBorder="0" applyProtection="0"/>
    <xf numFmtId="43" fontId="1" fillId="0" borderId="0" applyFont="0" applyFill="0" applyBorder="0" applyProtection="0"/>
    <xf numFmtId="43" fontId="1" fillId="0" borderId="0" applyFont="0" applyFill="0" applyBorder="0" applyProtection="0"/>
    <xf numFmtId="43" fontId="1" fillId="0" borderId="0" applyFont="0" applyFill="0" applyBorder="0" applyProtection="0">
      <alignment vertical="center"/>
    </xf>
    <xf numFmtId="43" fontId="1" fillId="0" borderId="0" applyFont="0" applyFill="0" applyBorder="0" applyProtection="0"/>
    <xf numFmtId="166" fontId="1" fillId="0" borderId="0" applyFont="0" applyFill="0" applyBorder="0" applyProtection="0">
      <alignment vertical="center"/>
    </xf>
    <xf numFmtId="166" fontId="1" fillId="0" borderId="0" applyFont="0" applyFill="0" applyBorder="0" applyProtection="0">
      <alignment vertical="center"/>
    </xf>
    <xf numFmtId="166" fontId="1" fillId="0" borderId="0" applyFont="0" applyFill="0" applyBorder="0" applyProtection="0">
      <alignment vertical="center"/>
    </xf>
    <xf numFmtId="43" fontId="3" fillId="0" borderId="0" applyFont="0" applyFill="0" applyBorder="0" applyProtection="0"/>
    <xf numFmtId="166" fontId="1" fillId="0" borderId="0" applyFont="0" applyFill="0" applyBorder="0" applyProtection="0">
      <alignment vertical="center"/>
    </xf>
    <xf numFmtId="43" fontId="5" fillId="0" borderId="0" applyFont="0" applyFill="0" applyBorder="0" applyProtection="0"/>
    <xf numFmtId="43" fontId="5" fillId="0" borderId="0" applyFont="0" applyFill="0" applyBorder="0" applyProtection="0"/>
    <xf numFmtId="43" fontId="5" fillId="0" borderId="0" applyFont="0" applyFill="0" applyBorder="0" applyProtection="0"/>
    <xf numFmtId="43" fontId="5" fillId="0" borderId="0" applyFont="0" applyFill="0" applyBorder="0" applyProtection="0"/>
    <xf numFmtId="43" fontId="1" fillId="0" borderId="0" applyFont="0" applyFill="0" applyBorder="0" applyProtection="0"/>
    <xf numFmtId="43" fontId="1" fillId="0" borderId="0" applyFont="0" applyFill="0" applyBorder="0" applyProtection="0"/>
    <xf numFmtId="43" fontId="1" fillId="0" borderId="0" applyFont="0" applyFill="0" applyBorder="0" applyProtection="0"/>
    <xf numFmtId="43" fontId="1" fillId="0" borderId="0" applyFont="0" applyFill="0" applyBorder="0" applyProtection="0"/>
    <xf numFmtId="43" fontId="1" fillId="0" borderId="0" applyFont="0" applyFill="0" applyBorder="0" applyProtection="0"/>
    <xf numFmtId="43" fontId="3" fillId="0" borderId="0" applyFont="0" applyFill="0" applyBorder="0" applyProtection="0"/>
    <xf numFmtId="43" fontId="3" fillId="0" borderId="0" applyFont="0" applyFill="0" applyBorder="0" applyProtection="0"/>
    <xf numFmtId="167" fontId="7" fillId="0" borderId="0" applyFill="0" applyBorder="0" applyProtection="0"/>
    <xf numFmtId="167" fontId="7" fillId="0" borderId="0" applyFill="0" applyBorder="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 fillId="0" borderId="0"/>
    <xf numFmtId="0" fontId="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 fillId="0" borderId="0"/>
    <xf numFmtId="0" fontId="5" fillId="0" borderId="0"/>
    <xf numFmtId="0" fontId="1" fillId="0" borderId="0"/>
    <xf numFmtId="0" fontId="4" fillId="0" borderId="0">
      <alignment vertical="center"/>
    </xf>
    <xf numFmtId="0" fontId="4" fillId="0" borderId="0"/>
    <xf numFmtId="0" fontId="1" fillId="0" borderId="0"/>
    <xf numFmtId="0" fontId="1" fillId="0" borderId="0"/>
    <xf numFmtId="0" fontId="4"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alignment vertical="center"/>
    </xf>
    <xf numFmtId="41" fontId="8" fillId="0" borderId="0" applyFont="0" applyFill="0" applyBorder="0" applyAlignment="0" applyProtection="0"/>
    <xf numFmtId="0" fontId="2" fillId="0" borderId="0"/>
    <xf numFmtId="43" fontId="3" fillId="0" borderId="0" applyFont="0" applyFill="0" applyBorder="0" applyProtection="0"/>
    <xf numFmtId="43" fontId="1" fillId="0" borderId="0" applyFont="0" applyFill="0" applyBorder="0" applyAlignment="0" applyProtection="0"/>
    <xf numFmtId="9" fontId="1" fillId="0" borderId="0" applyFont="0" applyFill="0" applyBorder="0" applyAlignment="0" applyProtection="0"/>
  </cellStyleXfs>
  <cellXfs count="62">
    <xf numFmtId="0" fontId="0" fillId="0" borderId="0" xfId="0"/>
    <xf numFmtId="0" fontId="0" fillId="0" borderId="0" xfId="0" pivotButton="1"/>
    <xf numFmtId="0" fontId="0" fillId="0" borderId="0" xfId="0" applyAlignment="1">
      <alignment horizontal="left"/>
    </xf>
    <xf numFmtId="3" fontId="0" fillId="0" borderId="0" xfId="0" applyNumberFormat="1"/>
    <xf numFmtId="14" fontId="0" fillId="0" borderId="0" xfId="0" applyNumberFormat="1"/>
    <xf numFmtId="0" fontId="0" fillId="0" borderId="0" xfId="0" applyAlignment="1">
      <alignment horizontal="center"/>
    </xf>
    <xf numFmtId="168" fontId="0" fillId="0" borderId="0" xfId="0" applyNumberFormat="1" applyAlignment="1">
      <alignment horizontal="left"/>
    </xf>
    <xf numFmtId="9" fontId="0" fillId="0" borderId="0" xfId="0" applyNumberFormat="1" applyAlignment="1">
      <alignment horizontal="center"/>
    </xf>
    <xf numFmtId="0" fontId="0" fillId="0" borderId="0" xfId="0" applyAlignment="1">
      <alignment horizontal="center" vertical="center"/>
    </xf>
    <xf numFmtId="9" fontId="0" fillId="0" borderId="0" xfId="0" applyNumberFormat="1" applyAlignment="1">
      <alignment horizontal="center" vertical="center"/>
    </xf>
    <xf numFmtId="168" fontId="0" fillId="0" borderId="0" xfId="0" applyNumberFormat="1" applyAlignment="1">
      <alignment horizontal="center" vertical="center"/>
    </xf>
    <xf numFmtId="3" fontId="0" fillId="0" borderId="0" xfId="0" applyNumberFormat="1" applyAlignment="1">
      <alignment horizontal="right"/>
    </xf>
    <xf numFmtId="169" fontId="0" fillId="0" borderId="0" xfId="0" applyNumberFormat="1"/>
    <xf numFmtId="0" fontId="0" fillId="0" borderId="1" xfId="0" applyBorder="1" applyAlignment="1">
      <alignment horizontal="left" vertical="center"/>
    </xf>
    <xf numFmtId="14" fontId="0" fillId="2" borderId="1" xfId="0" applyNumberFormat="1" applyFill="1" applyBorder="1" applyAlignment="1">
      <alignment horizontal="left"/>
    </xf>
    <xf numFmtId="3" fontId="0" fillId="0" borderId="0" xfId="0" applyNumberFormat="1" applyAlignment="1">
      <alignment vertical="center"/>
    </xf>
    <xf numFmtId="43" fontId="0" fillId="0" borderId="0" xfId="157" applyFont="1"/>
    <xf numFmtId="3" fontId="0" fillId="0" borderId="3" xfId="0" applyNumberFormat="1" applyBorder="1" applyAlignment="1">
      <alignment horizontal="right" vertical="center"/>
    </xf>
    <xf numFmtId="3" fontId="1" fillId="2" borderId="3" xfId="157" applyNumberFormat="1" applyFont="1" applyFill="1" applyBorder="1" applyAlignment="1"/>
    <xf numFmtId="3" fontId="1" fillId="0" borderId="3" xfId="157" applyNumberFormat="1" applyFont="1" applyBorder="1" applyAlignment="1"/>
    <xf numFmtId="3" fontId="0" fillId="0" borderId="3" xfId="0" applyNumberFormat="1" applyBorder="1" applyAlignment="1">
      <alignment vertical="center"/>
    </xf>
    <xf numFmtId="169" fontId="9" fillId="0" borderId="4" xfId="0" applyNumberFormat="1" applyFont="1" applyBorder="1" applyAlignment="1">
      <alignment horizontal="center" vertical="center"/>
    </xf>
    <xf numFmtId="0" fontId="9" fillId="0" borderId="5" xfId="0" applyFont="1" applyBorder="1" applyAlignment="1">
      <alignment horizontal="center" vertical="center"/>
    </xf>
    <xf numFmtId="3" fontId="9" fillId="0" borderId="6" xfId="0" applyNumberFormat="1" applyFont="1" applyBorder="1" applyAlignment="1">
      <alignment horizontal="center" vertical="center"/>
    </xf>
    <xf numFmtId="14" fontId="0" fillId="2" borderId="8" xfId="0" applyNumberFormat="1" applyFill="1" applyBorder="1" applyAlignment="1">
      <alignment horizontal="left"/>
    </xf>
    <xf numFmtId="3" fontId="0" fillId="0" borderId="9" xfId="0" applyNumberFormat="1" applyBorder="1" applyAlignment="1">
      <alignment vertical="center"/>
    </xf>
    <xf numFmtId="0" fontId="0" fillId="0" borderId="0" xfId="0" applyAlignment="1">
      <alignment vertical="center"/>
    </xf>
    <xf numFmtId="14" fontId="0" fillId="0" borderId="0" xfId="0" applyNumberFormat="1" applyAlignment="1">
      <alignment vertical="center"/>
    </xf>
    <xf numFmtId="0" fontId="0" fillId="0" borderId="0" xfId="0" applyAlignment="1">
      <alignment horizontal="center" vertical="center" wrapText="1"/>
    </xf>
    <xf numFmtId="10" fontId="10" fillId="3" borderId="10" xfId="158" applyNumberFormat="1" applyFont="1" applyFill="1" applyBorder="1" applyAlignment="1">
      <alignment vertical="center"/>
    </xf>
    <xf numFmtId="10" fontId="0" fillId="0" borderId="0" xfId="158" applyNumberFormat="1" applyFont="1"/>
    <xf numFmtId="3" fontId="0" fillId="0" borderId="0" xfId="0" applyNumberFormat="1" applyAlignment="1">
      <alignment horizontal="center" vertical="center" wrapText="1"/>
    </xf>
    <xf numFmtId="3" fontId="0" fillId="0" borderId="0" xfId="158" applyNumberFormat="1" applyFont="1"/>
    <xf numFmtId="4" fontId="0" fillId="0" borderId="0" xfId="0" applyNumberFormat="1"/>
    <xf numFmtId="0" fontId="1" fillId="2" borderId="1" xfId="0" applyFont="1" applyFill="1" applyBorder="1"/>
    <xf numFmtId="170" fontId="0" fillId="0" borderId="0" xfId="157" applyNumberFormat="1" applyFont="1"/>
    <xf numFmtId="10" fontId="0" fillId="0" borderId="0" xfId="0" applyNumberFormat="1"/>
    <xf numFmtId="169" fontId="0" fillId="0" borderId="2" xfId="0" applyNumberFormat="1" applyBorder="1" applyAlignment="1">
      <alignment horizontal="right" vertical="center"/>
    </xf>
    <xf numFmtId="169" fontId="0" fillId="2" borderId="2" xfId="0" applyNumberFormat="1" applyFill="1" applyBorder="1" applyAlignment="1">
      <alignment horizontal="right"/>
    </xf>
    <xf numFmtId="169" fontId="0" fillId="2" borderId="7" xfId="0" applyNumberFormat="1" applyFill="1" applyBorder="1" applyAlignment="1">
      <alignment horizontal="right"/>
    </xf>
    <xf numFmtId="0" fontId="11" fillId="9" borderId="0" xfId="0" applyFont="1" applyFill="1"/>
    <xf numFmtId="0" fontId="11" fillId="7" borderId="0" xfId="0" applyFont="1" applyFill="1"/>
    <xf numFmtId="0" fontId="10" fillId="8" borderId="11" xfId="0" applyFont="1" applyFill="1" applyBorder="1" applyAlignment="1">
      <alignment horizontal="center" vertical="center"/>
    </xf>
    <xf numFmtId="0" fontId="10" fillId="8" borderId="11" xfId="0" applyFont="1" applyFill="1" applyBorder="1" applyAlignment="1">
      <alignment horizontal="center" vertical="center" wrapText="1"/>
    </xf>
    <xf numFmtId="3" fontId="10" fillId="8" borderId="11" xfId="0" applyNumberFormat="1" applyFont="1" applyFill="1" applyBorder="1" applyAlignment="1">
      <alignment horizontal="center" vertical="center" wrapText="1"/>
    </xf>
    <xf numFmtId="14" fontId="11" fillId="9" borderId="0" xfId="0" applyNumberFormat="1" applyFont="1" applyFill="1"/>
    <xf numFmtId="3" fontId="11" fillId="9" borderId="0" xfId="0" applyNumberFormat="1" applyFont="1" applyFill="1"/>
    <xf numFmtId="10" fontId="11" fillId="9" borderId="0" xfId="158" applyNumberFormat="1" applyFont="1" applyFill="1"/>
    <xf numFmtId="3" fontId="11" fillId="9" borderId="0" xfId="158" applyNumberFormat="1" applyFont="1" applyFill="1"/>
    <xf numFmtId="14" fontId="11" fillId="7" borderId="0" xfId="0" applyNumberFormat="1" applyFont="1" applyFill="1"/>
    <xf numFmtId="3" fontId="11" fillId="7" borderId="0" xfId="0" applyNumberFormat="1" applyFont="1" applyFill="1"/>
    <xf numFmtId="10" fontId="11" fillId="7" borderId="0" xfId="158" applyNumberFormat="1" applyFont="1" applyFill="1"/>
    <xf numFmtId="3" fontId="11" fillId="7" borderId="0" xfId="158" applyNumberFormat="1" applyFont="1" applyFill="1"/>
    <xf numFmtId="168" fontId="0" fillId="0" borderId="0" xfId="0" applyNumberFormat="1"/>
    <xf numFmtId="169" fontId="11" fillId="4" borderId="1" xfId="0" applyNumberFormat="1" applyFont="1" applyFill="1" applyBorder="1" applyAlignment="1">
      <alignment horizontal="center"/>
    </xf>
    <xf numFmtId="171" fontId="11" fillId="4" borderId="1" xfId="0" applyNumberFormat="1" applyFont="1" applyFill="1" applyBorder="1" applyAlignment="1">
      <alignment horizontal="center"/>
    </xf>
    <xf numFmtId="169" fontId="11" fillId="4" borderId="1" xfId="0" applyNumberFormat="1" applyFont="1" applyFill="1" applyBorder="1" applyAlignment="1">
      <alignment horizontal="center" vertical="center"/>
    </xf>
    <xf numFmtId="169" fontId="11" fillId="5" borderId="1" xfId="0" applyNumberFormat="1" applyFont="1" applyFill="1" applyBorder="1" applyAlignment="1">
      <alignment horizontal="center"/>
    </xf>
    <xf numFmtId="0" fontId="11" fillId="6" borderId="1" xfId="0" applyFont="1" applyFill="1" applyBorder="1" applyAlignment="1">
      <alignment horizontal="center"/>
    </xf>
    <xf numFmtId="168" fontId="11" fillId="5" borderId="1" xfId="0" applyNumberFormat="1" applyFont="1" applyFill="1" applyBorder="1" applyAlignment="1">
      <alignment horizontal="center"/>
    </xf>
    <xf numFmtId="168" fontId="11" fillId="6" borderId="1" xfId="0" applyNumberFormat="1" applyFont="1" applyFill="1" applyBorder="1" applyAlignment="1">
      <alignment horizontal="center"/>
    </xf>
    <xf numFmtId="0" fontId="0" fillId="0" borderId="0" xfId="0" applyNumberFormat="1"/>
  </cellXfs>
  <cellStyles count="159">
    <cellStyle name="0,0_x000a__x000a_NA_x000a__x000a_ 2 2" xfId="5" xr:uid="{5E532F26-1E31-4258-9367-697E52BA12EF}"/>
    <cellStyle name="0,0_x000a__x000a_NA_x000a__x000a_ 4" xfId="6" xr:uid="{646A7B2C-178C-469E-B3D2-9FAA54A4579C}"/>
    <cellStyle name="0,0_x000a__x000a_NA_x000a__x000a_ 4 2" xfId="7" xr:uid="{F2AC73B3-876B-4E6D-BA04-582DA0EBB8C6}"/>
    <cellStyle name="0,0_x000a__x000a_NA_x000a__x000a_ 4 2 2" xfId="8" xr:uid="{467DB871-2B25-408B-8BBF-289E6F4AB3FD}"/>
    <cellStyle name="0,0_x000a__x000a_NA_x000a__x000a_ 4 2 3" xfId="9" xr:uid="{5E8912D5-35F0-4BBE-903F-BC8114E5A074}"/>
    <cellStyle name="0,0_x000a__x000a_NA_x000a__x000a_ 4 3" xfId="10" xr:uid="{57F3528A-4E46-46D1-849D-C393A6B2B3B8}"/>
    <cellStyle name="0,0_x000d__x000d_NA_x000d__x000d_ 2 2" xfId="11" xr:uid="{5F0C0DAA-D2A3-4C87-AEE8-18C470889D25}"/>
    <cellStyle name="0,0_x000d__x000d_NA_x000d__x000d_ 2 2 2" xfId="12" xr:uid="{5A5D5767-FA88-4FFE-BE8A-8BE721E50D41}"/>
    <cellStyle name="0,0_x000d__x000d_NA_x000d__x000d_ 2 2 3" xfId="13" xr:uid="{41483C8E-B5AA-42C9-B2FF-560E9D2501A3}"/>
    <cellStyle name="0,0_x000d__x000d_NA_x000d__x000d_ 2 2 4" xfId="14" xr:uid="{E3EA1A4D-B2EC-4178-98A4-B840E43D283A}"/>
    <cellStyle name="Comma" xfId="157" builtinId="3"/>
    <cellStyle name="Comma [0] 14 2" xfId="15" xr:uid="{E72A5802-F0D2-4851-8E4A-79264B86233C}"/>
    <cellStyle name="Comma [0] 14 2 2" xfId="16" xr:uid="{2BEDD978-0950-4E95-A1CB-E61C3D5BA73B}"/>
    <cellStyle name="Comma [0] 14 2 3" xfId="17" xr:uid="{D5584C4F-CCD8-4E7D-B33B-331D94084A35}"/>
    <cellStyle name="Comma [0] 14 2 4" xfId="18" xr:uid="{64FACEFD-DBF2-4F4F-BC4F-F12B41AEFA50}"/>
    <cellStyle name="Comma [0] 2" xfId="19" xr:uid="{354B62C9-2408-4A30-9AA8-7E21D787CBA6}"/>
    <cellStyle name="Comma [0] 2 2" xfId="20" xr:uid="{8042E4DA-F991-49B1-AC44-47EA1D864EF1}"/>
    <cellStyle name="Comma [0] 2 3" xfId="21" xr:uid="{E09EE051-2CE3-454D-86B6-FE7449149349}"/>
    <cellStyle name="Comma [0] 2 4" xfId="22" xr:uid="{8F0D87BF-C821-44B5-B12E-79D92068A98F}"/>
    <cellStyle name="Comma [0] 3" xfId="23" xr:uid="{39AFAF54-10B7-401C-9346-33A5B4A75B63}"/>
    <cellStyle name="Comma [0] 3 2" xfId="24" xr:uid="{939FAF70-41AA-4039-BDEA-F8E091B8DECE}"/>
    <cellStyle name="Comma [0] 3 3" xfId="25" xr:uid="{2B7E0943-A43D-49D7-8AEF-CAE934E8FC35}"/>
    <cellStyle name="Comma [0] 3 4" xfId="26" xr:uid="{B6F2520A-2093-49DA-876D-5830CFF093F8}"/>
    <cellStyle name="Comma [0] 3 5" xfId="27" xr:uid="{3481A5EB-B592-448E-AF52-D01678C7F4D6}"/>
    <cellStyle name="Comma [0] 4" xfId="28" xr:uid="{1DF4E9A9-AFCD-4A28-AE50-E3908B753691}"/>
    <cellStyle name="Comma [0] 4 2" xfId="154" xr:uid="{CF70085C-45FE-445D-8C16-36AEC9C64602}"/>
    <cellStyle name="Comma [0] 5" xfId="29" xr:uid="{EC1B7EE3-DAC6-48CA-B0AE-C1C16E1138FD}"/>
    <cellStyle name="Comma [0] 6" xfId="30" xr:uid="{1DCD6306-9092-4EAE-B016-5EC55808B6F5}"/>
    <cellStyle name="Comma [0] 7" xfId="31" xr:uid="{23CBBEF9-006D-4697-A2A7-19EE4BF727CD}"/>
    <cellStyle name="Comma [0] 8" xfId="4" xr:uid="{005F906F-7B89-474F-85C5-30F14D2240E1}"/>
    <cellStyle name="Comma 10" xfId="32" xr:uid="{05EBCDFA-0EB5-4936-99C1-65AC960D81F9}"/>
    <cellStyle name="Comma 10 13" xfId="33" xr:uid="{3BCA6BDF-93BF-4462-AB80-A491E6E6BADB}"/>
    <cellStyle name="Comma 10 13 2" xfId="34" xr:uid="{738350A8-326F-486E-9A3A-8A2125C41BD8}"/>
    <cellStyle name="Comma 10 13 3" xfId="35" xr:uid="{72B45C72-B11E-43E6-9F7A-884D28B9A9C7}"/>
    <cellStyle name="Comma 10 13 4" xfId="36" xr:uid="{24E0DA10-5E38-4F3D-95A4-D95AE13FE81B}"/>
    <cellStyle name="Comma 10 2" xfId="37" xr:uid="{F43C8ACA-E190-42C9-83B3-CFD88CDB9D4B}"/>
    <cellStyle name="Comma 10 2 2" xfId="38" xr:uid="{B1662E08-6659-4431-82B5-50A12C431535}"/>
    <cellStyle name="Comma 10 2 3" xfId="39" xr:uid="{664872B2-FD40-47EC-8C6D-A4C55963F4D3}"/>
    <cellStyle name="Comma 10 2 4" xfId="40" xr:uid="{6FC5316D-518E-48B5-B54B-ADE994B37344}"/>
    <cellStyle name="Comma 10 3" xfId="41" xr:uid="{5059E15F-3AC4-47D0-8E25-BE7D57DF839B}"/>
    <cellStyle name="Comma 10 4" xfId="42" xr:uid="{83B549A6-D623-49A4-82EC-5D839FF3A951}"/>
    <cellStyle name="Comma 10 5" xfId="43" xr:uid="{86AED0CB-6DA8-439F-A483-7082FD00C287}"/>
    <cellStyle name="Comma 11" xfId="44" xr:uid="{EBC9B285-C832-41FE-9731-6C97882714E8}"/>
    <cellStyle name="Comma 12" xfId="45" xr:uid="{E0058F22-3540-4FB5-A684-9550A5A4487B}"/>
    <cellStyle name="Comma 13" xfId="46" xr:uid="{307706CB-E407-4BD4-9419-FC4E764302F3}"/>
    <cellStyle name="Comma 14" xfId="2" xr:uid="{7055FD83-0152-454D-92D0-017EBBEDFF5E}"/>
    <cellStyle name="Comma 15" xfId="156" xr:uid="{E3F4F7FD-9E4D-49C3-A2FE-B300F655CA3A}"/>
    <cellStyle name="Comma 2" xfId="47" xr:uid="{960883C7-7311-443E-A40E-D3367A5DFA16}"/>
    <cellStyle name="Comma 2 2" xfId="48" xr:uid="{8C60CF23-342B-43D8-A76A-287175E67AA4}"/>
    <cellStyle name="Comma 2 2 2" xfId="49" xr:uid="{E4176A9B-EECF-464D-B755-C048ED512059}"/>
    <cellStyle name="Comma 2 2 3" xfId="50" xr:uid="{A92EE93E-2407-4371-8E9D-F82327CE94C5}"/>
    <cellStyle name="Comma 2 2 4" xfId="51" xr:uid="{8AEA9311-15AA-4AE2-9CEA-B8AC8864029C}"/>
    <cellStyle name="Comma 2 3" xfId="52" xr:uid="{6F5E76F5-CF67-4A15-9175-C08C92D3902D}"/>
    <cellStyle name="Comma 2 3 3" xfId="53" xr:uid="{42BA58DD-98FF-484D-B3AF-FBE4FDC4DC5A}"/>
    <cellStyle name="Comma 2 3 3 2" xfId="54" xr:uid="{8A8BBD1A-580E-4553-BDC0-98A764D23465}"/>
    <cellStyle name="Comma 2 3 3 3" xfId="55" xr:uid="{180C191E-F4DE-4CA1-8F94-2EA232FD691E}"/>
    <cellStyle name="Comma 2 4" xfId="56" xr:uid="{12C30231-A6F4-4882-A970-9E0999626790}"/>
    <cellStyle name="Comma 2 5" xfId="57" xr:uid="{0A0AC35A-4E02-4188-A532-A95B0819E5B5}"/>
    <cellStyle name="Comma 3" xfId="58" xr:uid="{A8D7274F-F960-4B23-A2BC-5F430B2B3C9A}"/>
    <cellStyle name="Comma 3 2" xfId="59" xr:uid="{096BC614-E713-483D-9399-8D17DA030E84}"/>
    <cellStyle name="Comma 3 2 2" xfId="60" xr:uid="{CC88AEDC-864B-43D1-9B3A-CC21A6F8FD8B}"/>
    <cellStyle name="Comma 3 2 3" xfId="61" xr:uid="{CCF996CD-F7C5-4B44-A402-FE90038F9E16}"/>
    <cellStyle name="Comma 3 2 4" xfId="62" xr:uid="{BE60C497-6811-43FB-9E7A-64683EB3DC84}"/>
    <cellStyle name="Comma 3 3" xfId="63" xr:uid="{F787F2D9-1F05-4810-B568-D74EBF5222BF}"/>
    <cellStyle name="Comma 3 4" xfId="64" xr:uid="{34F9BDD3-50DD-44D8-84A9-505627493B74}"/>
    <cellStyle name="Comma 3 5" xfId="65" xr:uid="{FA3FBCFF-7BFD-4542-92EF-90DA0066DC20}"/>
    <cellStyle name="Comma 3 6" xfId="66" xr:uid="{4E14C550-505C-436A-A187-34EF3C28DFA3}"/>
    <cellStyle name="Comma 4" xfId="67" xr:uid="{648B9F95-8AAC-4685-8F4D-0696D8B64576}"/>
    <cellStyle name="Comma 4 2" xfId="68" xr:uid="{70781448-790F-4B70-A9F9-E376612759D6}"/>
    <cellStyle name="Comma 4 3" xfId="69" xr:uid="{206E0DCF-0702-4B19-A767-A38EE96052B1}"/>
    <cellStyle name="Comma 4 4" xfId="70" xr:uid="{7BE17739-DD99-4979-A930-7E509E766A11}"/>
    <cellStyle name="Comma 4 5" xfId="71" xr:uid="{7B4269A0-DF1E-4900-B156-0FF076DF1C8C}"/>
    <cellStyle name="Comma 5" xfId="72" xr:uid="{BA01420F-6243-4F0E-B5E6-21670F21DB17}"/>
    <cellStyle name="Comma 5 2" xfId="73" xr:uid="{C3B955E7-4441-419F-9815-C96123876D05}"/>
    <cellStyle name="Comma 5 3" xfId="74" xr:uid="{915C54A2-025B-48A8-A841-932C789B1A22}"/>
    <cellStyle name="Comma 5 4" xfId="75" xr:uid="{C7A54E60-691E-4DCB-8F88-8658CA09CDBD}"/>
    <cellStyle name="Comma 6" xfId="76" xr:uid="{8348BE0E-FE7B-4E2C-A79F-511AE90F73D0}"/>
    <cellStyle name="Comma 6 2" xfId="77" xr:uid="{D1CF3120-868A-4F24-A3A9-0B32D4C216A5}"/>
    <cellStyle name="Comma 6 3" xfId="78" xr:uid="{F746A93D-4855-46FD-A9D1-10D799C95106}"/>
    <cellStyle name="Comma 6 4" xfId="79" xr:uid="{624901E6-4906-4B40-946A-8D7CF51EC315}"/>
    <cellStyle name="Comma 7" xfId="80" xr:uid="{BAFD654A-32EF-4905-98DE-25B62B5C89B1}"/>
    <cellStyle name="Comma 8" xfId="81" xr:uid="{8AC86BD4-C911-4DEC-A86E-10F7E22FDE21}"/>
    <cellStyle name="Comma 9" xfId="82" xr:uid="{735DC082-EC12-4390-8844-F4E25AA9018A}"/>
    <cellStyle name="Excel Built-in Comma [0]" xfId="83" xr:uid="{1A5CC6A0-6E27-41F0-8FBB-367A109E1A80}"/>
    <cellStyle name="Excel Built-in Comma [0] 2" xfId="84" xr:uid="{1B8493D3-4C24-41E4-98EF-C966CA83EF0F}"/>
    <cellStyle name="Normal" xfId="0" builtinId="0"/>
    <cellStyle name="Normal - Style1 2 3" xfId="85" xr:uid="{A0FA18FB-D2C5-4B6F-BD23-5DB154EBD025}"/>
    <cellStyle name="Normal - Style1 2 3 2" xfId="86" xr:uid="{D3930B2C-3AF6-4813-A57E-2A2E542A5313}"/>
    <cellStyle name="Normal - Style1 2 3 3" xfId="87" xr:uid="{2CFF9421-B29E-4971-8ABA-59A1BF7010A8}"/>
    <cellStyle name="Normal - Style1 2 3 4" xfId="88" xr:uid="{6E7CB56F-31D1-43F8-9A2B-BEAC593AAA13}"/>
    <cellStyle name="Normal 10" xfId="1" xr:uid="{B80F3B80-51ED-40FE-9124-47715189ED46}"/>
    <cellStyle name="Normal 11" xfId="89" xr:uid="{F1FA665A-BB0C-4366-A53B-3756A100AD41}"/>
    <cellStyle name="Normal 11 2" xfId="90" xr:uid="{735FC698-4BC9-4A0E-9BCF-9763901BAA7E}"/>
    <cellStyle name="Normal 11 3" xfId="91" xr:uid="{923B8492-665F-47D7-86BB-7221452C637E}"/>
    <cellStyle name="Normal 11 4" xfId="92" xr:uid="{16FF5C13-68F7-4200-89B0-14E9702459DF}"/>
    <cellStyle name="Normal 12" xfId="155" xr:uid="{F679CF90-ED95-44D9-B3D5-381761BA4C84}"/>
    <cellStyle name="Normal 2" xfId="93" xr:uid="{A9520A93-3F71-4EFF-B4AC-45E7455564B8}"/>
    <cellStyle name="Normal 2 11 2" xfId="94" xr:uid="{1BFCE1D3-4C95-4ABB-A1D6-223FC642B003}"/>
    <cellStyle name="Normal 2 2" xfId="95" xr:uid="{B898D48E-646D-47F1-8B81-3DE34F48C528}"/>
    <cellStyle name="Normal 2 2 2" xfId="96" xr:uid="{914270D6-0D33-42E8-BF22-E607BFFA3B53}"/>
    <cellStyle name="Normal 2 2 2 11" xfId="97" xr:uid="{735AA999-5973-4987-AAA7-39734B20A28B}"/>
    <cellStyle name="Normal 2 2 2 11 2" xfId="98" xr:uid="{953A669E-74BE-401E-9DE6-15A396D46191}"/>
    <cellStyle name="Normal 2 2 2 11 3" xfId="99" xr:uid="{BE843BD4-B34A-4EA4-88B5-258ADD577451}"/>
    <cellStyle name="Normal 2 2 2 11 4" xfId="100" xr:uid="{F8CBC6D7-8C2D-4823-B6BB-395066510DFB}"/>
    <cellStyle name="Normal 2 2 2 2" xfId="101" xr:uid="{7FC12599-A153-40AB-A4CF-D09F3C2C8E84}"/>
    <cellStyle name="Normal 2 2 2 2 2" xfId="102" xr:uid="{6EAE8AEF-938D-4B0D-8DE4-2E5D272B0F00}"/>
    <cellStyle name="Normal 2 2 2 2 3" xfId="103" xr:uid="{AC6E8EB8-2A3E-4F28-9987-27434F0EE730}"/>
    <cellStyle name="Normal 2 2 2 2 4" xfId="104" xr:uid="{2C925BA0-31C0-45D4-8CA8-45D979F1E7BA}"/>
    <cellStyle name="Normal 2 2 3" xfId="105" xr:uid="{717702EB-4180-489F-86A2-262B5C559E52}"/>
    <cellStyle name="Normal 2 2 4" xfId="106" xr:uid="{D821B0E1-09BE-48DD-9895-6A4BF38DB605}"/>
    <cellStyle name="Normal 2 2 7" xfId="107" xr:uid="{540F67A5-F1D7-4158-B913-2F63FBFD5953}"/>
    <cellStyle name="Normal 2 3" xfId="108" xr:uid="{4F05264D-0540-4710-9D65-32A978E87627}"/>
    <cellStyle name="Normal 2 4" xfId="109" xr:uid="{F35CCB8C-AEE4-450A-B2DC-9A1C23B42428}"/>
    <cellStyle name="Normal 2 5" xfId="110" xr:uid="{7EEF0E57-3343-4B60-9196-E054B1EE8E00}"/>
    <cellStyle name="Normal 2 6" xfId="111" xr:uid="{90D87A07-50E1-413E-9CF2-096C669822D8}"/>
    <cellStyle name="Normal 2 7" xfId="112" xr:uid="{8E576CFC-151F-47EF-923F-DEF52EA04812}"/>
    <cellStyle name="Normal 2 8" xfId="113" xr:uid="{309248A5-DE16-4D7E-94F0-B8AE8C0B6FAE}"/>
    <cellStyle name="Normal 3" xfId="114" xr:uid="{C8F275DF-CF97-47D7-A78C-CDFD4ADA1088}"/>
    <cellStyle name="Normal 3 2" xfId="115" xr:uid="{076F97BB-DAA7-4315-B69C-7AFA17975BB5}"/>
    <cellStyle name="Normal 3 3" xfId="116" xr:uid="{05496B9C-FF9F-4DCE-A00B-7B6A506D6991}"/>
    <cellStyle name="Normal 3 4" xfId="117" xr:uid="{A04518BB-67D0-4BC5-955D-8E37E98C23FC}"/>
    <cellStyle name="Normal 3 5" xfId="118" xr:uid="{FBC518D2-D708-4E75-BA7B-F2DED88F52D1}"/>
    <cellStyle name="Normal 3 6" xfId="119" xr:uid="{930B190D-1C19-4DC4-81BE-D868FAA79CA5}"/>
    <cellStyle name="Normal 35" xfId="120" xr:uid="{25DDF400-19A4-4B99-AB60-5C7A93197E71}"/>
    <cellStyle name="Normal 35 2" xfId="121" xr:uid="{5758149E-CD74-4796-9314-1C1EE5D313AD}"/>
    <cellStyle name="Normal 35 3" xfId="122" xr:uid="{4D8D0273-03DD-4A52-9D52-992268FB6CA9}"/>
    <cellStyle name="Normal 35 4" xfId="123" xr:uid="{60348652-0D94-4008-923B-DC645BB36037}"/>
    <cellStyle name="Normal 4" xfId="124" xr:uid="{2E1291BA-4EB3-4B3B-8191-14F62A846F57}"/>
    <cellStyle name="Normal 4 2" xfId="125" xr:uid="{6A65E2D2-C7EA-4D36-8C63-02F22E2BB3D1}"/>
    <cellStyle name="Normal 4 3" xfId="126" xr:uid="{F3952A39-BD5D-4B97-B12D-9DAAC887265C}"/>
    <cellStyle name="Normal 4 4" xfId="127" xr:uid="{062888ED-A6BE-463E-8B9F-3E48AC1AFBE7}"/>
    <cellStyle name="Normal 5" xfId="128" xr:uid="{4983F73C-1F99-410B-A87D-95B023446A6D}"/>
    <cellStyle name="Normal 5 2" xfId="129" xr:uid="{87199E2C-1230-466D-A832-48A69236975C}"/>
    <cellStyle name="Normal 5 2 2" xfId="130" xr:uid="{6B567126-495D-49A5-A49E-EFB703521065}"/>
    <cellStyle name="Normal 5 2 2 2" xfId="131" xr:uid="{72C06A13-F87C-4E82-B6AE-CC47B76FB576}"/>
    <cellStyle name="Normal 5 2 2 2 2" xfId="132" xr:uid="{F39E44A7-1D33-41C6-894C-08CC8955B4A3}"/>
    <cellStyle name="Normal 5 2 2 2 3" xfId="133" xr:uid="{FF6797ED-B699-48F2-8326-1637DBB44686}"/>
    <cellStyle name="Normal 5 2 2 2 4" xfId="134" xr:uid="{D36C8C1A-AF4C-443D-9D5F-C3A11A3647A8}"/>
    <cellStyle name="Normal 5 2 2 3" xfId="135" xr:uid="{2843C0EE-2CD4-494E-96DF-01654E6A1C9F}"/>
    <cellStyle name="Normal 5 2 2 4" xfId="136" xr:uid="{ABC19B3F-EA00-4FDD-A28B-7C3C6597C8D3}"/>
    <cellStyle name="Normal 5 2 2 5" xfId="137" xr:uid="{3994CCCE-DC59-444B-96DD-3379A55D605B}"/>
    <cellStyle name="Normal 5 2 3" xfId="138" xr:uid="{BB879A6C-7434-4D05-A13D-52E651B6B6F9}"/>
    <cellStyle name="Normal 5 2 4" xfId="139" xr:uid="{0128CA4B-A942-4F46-8B59-15846112272D}"/>
    <cellStyle name="Normal 5 2 5" xfId="140" xr:uid="{659C84CE-260D-4B0A-A584-22BCB5CFCFB5}"/>
    <cellStyle name="Normal 5 3" xfId="141" xr:uid="{9211965B-C964-4ACF-B22C-E45387802CA9}"/>
    <cellStyle name="Normal 5 4" xfId="142" xr:uid="{906E8556-0467-4CA7-8382-C81505EA9BE9}"/>
    <cellStyle name="Normal 5 5" xfId="143" xr:uid="{790815D5-0156-440C-BDAA-4EE8C6447638}"/>
    <cellStyle name="Normal 6" xfId="144" xr:uid="{61BDDAC1-7014-4166-A490-01E53C5A1015}"/>
    <cellStyle name="Normal 6 2" xfId="145" xr:uid="{3C9F6282-9259-4DE8-9303-E2BD9DB9D0E4}"/>
    <cellStyle name="Normal 6 3" xfId="146" xr:uid="{67A8A845-F0B8-4FA8-B04B-4C714631F2E9}"/>
    <cellStyle name="Normal 6 4" xfId="147" xr:uid="{98CD1CA4-F92E-4618-B667-F2BEDFF5E675}"/>
    <cellStyle name="Normal 7" xfId="148" xr:uid="{A33A2D0C-6005-4F47-A3C4-D99CE6454630}"/>
    <cellStyle name="Normal 7 2" xfId="149" xr:uid="{D1FDBFFC-6929-4617-89D8-51B6846E03C7}"/>
    <cellStyle name="Normal 7 3" xfId="150" xr:uid="{B644E716-3709-49C7-A1BF-7821A6A03588}"/>
    <cellStyle name="Normal 7 4" xfId="151" xr:uid="{F6ED9932-4683-4E9E-B965-BE0E6BEDF9FF}"/>
    <cellStyle name="Normal 8" xfId="152" xr:uid="{6D9B550B-BBCD-4E60-841D-432B77814C19}"/>
    <cellStyle name="Normal 9" xfId="153" xr:uid="{17D8D52C-B16B-439B-857A-FAA7975E5A67}"/>
    <cellStyle name="Percent" xfId="158" builtinId="5"/>
    <cellStyle name="Percent 2" xfId="3" xr:uid="{0EF44EEB-5FAA-4610-926D-449A1F31EFA9}"/>
  </cellStyles>
  <dxfs count="93">
    <dxf>
      <numFmt numFmtId="175" formatCode="&quot;Rp&quot;#,##0.0"/>
    </dxf>
    <dxf>
      <numFmt numFmtId="168" formatCode="&quot;Rp&quot;#,##0"/>
    </dxf>
    <dxf>
      <numFmt numFmtId="172" formatCode="&quot;Rp&quot;#,##0.00"/>
    </dxf>
    <dxf>
      <numFmt numFmtId="3" formatCode="#,##0"/>
    </dxf>
    <dxf>
      <numFmt numFmtId="3" formatCode="#,##0"/>
    </dxf>
    <dxf>
      <numFmt numFmtId="3" formatCode="#,##0"/>
    </dxf>
    <dxf>
      <numFmt numFmtId="0" formatCode="General"/>
    </dxf>
    <dxf>
      <numFmt numFmtId="14" formatCode="0.00%"/>
    </dxf>
    <dxf>
      <numFmt numFmtId="0" formatCode="General"/>
    </dxf>
    <dxf>
      <numFmt numFmtId="3" formatCode="#,##0"/>
    </dxf>
    <dxf>
      <numFmt numFmtId="14" formatCode="0.00%"/>
    </dxf>
    <dxf>
      <numFmt numFmtId="3" formatCode="#,##0"/>
    </dxf>
    <dxf>
      <numFmt numFmtId="14" formatCode="0.00%"/>
    </dxf>
    <dxf>
      <numFmt numFmtId="0" formatCode="General"/>
    </dxf>
    <dxf>
      <numFmt numFmtId="3" formatCode="#,##0"/>
    </dxf>
    <dxf>
      <numFmt numFmtId="3" formatCode="#,##0"/>
    </dxf>
    <dxf>
      <numFmt numFmtId="168" formatCode="&quot;Rp&quot;#,##0"/>
    </dxf>
    <dxf>
      <numFmt numFmtId="3" formatCode="#,##0"/>
    </dxf>
    <dxf>
      <numFmt numFmtId="14" formatCode="0.00%"/>
    </dxf>
    <dxf>
      <numFmt numFmtId="3" formatCode="#,##0"/>
    </dxf>
    <dxf>
      <numFmt numFmtId="14" formatCode="0.00%"/>
    </dxf>
    <dxf>
      <numFmt numFmtId="3" formatCode="#,##0"/>
      <alignment horizontal="general" vertical="center" textRotation="0" wrapText="0" indent="0" justifyLastLine="0" shrinkToFit="0" readingOrder="0"/>
    </dxf>
    <dxf>
      <numFmt numFmtId="3" formatCode="#,##0"/>
      <alignment horizontal="general" vertical="center" textRotation="0" wrapText="0" indent="0" justifyLastLine="0" shrinkToFit="0" readingOrder="0"/>
    </dxf>
    <dxf>
      <numFmt numFmtId="3" formatCode="#,##0"/>
      <alignment horizontal="general" vertical="center" textRotation="0" wrapText="0" indent="0" justifyLastLine="0" shrinkToFit="0" readingOrder="0"/>
    </dxf>
    <dxf>
      <numFmt numFmtId="3" formatCode="#,##0"/>
      <alignment horizontal="general" vertical="center" textRotation="0" wrapText="0" indent="0" justifyLastLine="0" shrinkToFit="0" readingOrder="0"/>
    </dxf>
    <dxf>
      <numFmt numFmtId="3" formatCode="#,##0"/>
      <alignment horizontal="general" vertical="center" textRotation="0" wrapText="0" indent="0" justifyLastLine="0" shrinkToFit="0" readingOrder="0"/>
    </dxf>
    <dxf>
      <numFmt numFmtId="3" formatCode="#,##0"/>
      <alignment horizontal="general" vertical="center" textRotation="0" wrapText="0" indent="0" justifyLastLine="0" shrinkToFit="0" readingOrder="0"/>
    </dxf>
    <dxf>
      <numFmt numFmtId="19" formatCode="dd/mm/yyyy"/>
      <alignment horizontal="general" vertical="center" textRotation="0" wrapText="0"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
      <font>
        <color rgb="FF9C0006"/>
      </font>
      <fill>
        <patternFill>
          <bgColor rgb="FFFFC7CE"/>
        </patternFill>
      </fill>
    </dxf>
    <dxf>
      <font>
        <color rgb="FF9C0006"/>
      </font>
      <fill>
        <patternFill>
          <bgColor rgb="FFFFC7CE"/>
        </patternFill>
      </fill>
    </dxf>
    <dxf>
      <numFmt numFmtId="3" formatCode="#,##0"/>
    </dxf>
    <dxf>
      <font>
        <b val="0"/>
        <i val="0"/>
        <strike val="0"/>
        <condense val="0"/>
        <extend val="0"/>
        <outline val="0"/>
        <shadow val="0"/>
        <u val="none"/>
        <vertAlign val="baseline"/>
        <sz val="11"/>
        <color theme="1"/>
        <name val="Calibri"/>
        <family val="2"/>
        <scheme val="minor"/>
      </font>
      <numFmt numFmtId="3" formatCode="#,##0"/>
    </dxf>
    <dxf>
      <numFmt numFmtId="14" formatCode="0.00%"/>
    </dxf>
    <dxf>
      <numFmt numFmtId="3" formatCode="#,##0"/>
    </dxf>
    <dxf>
      <numFmt numFmtId="3" formatCode="#,##0"/>
    </dxf>
    <dxf>
      <numFmt numFmtId="3" formatCode="#,##0"/>
    </dxf>
    <dxf>
      <numFmt numFmtId="19" formatCode="dd/mm/yyyy"/>
    </dxf>
    <dxf>
      <numFmt numFmtId="0" formatCode="General"/>
    </dxf>
    <dxf>
      <numFmt numFmtId="0" formatCode="General"/>
    </dxf>
    <dxf>
      <numFmt numFmtId="0" formatCode="General"/>
    </dxf>
    <dxf>
      <alignment horizontal="center" vertical="center" textRotation="0" wrapText="0" indent="0" justifyLastLine="0" shrinkToFit="0" readingOrder="0"/>
    </dxf>
    <dxf>
      <font>
        <b val="0"/>
        <i val="0"/>
        <strike val="0"/>
        <condense val="0"/>
        <extend val="0"/>
        <outline val="0"/>
        <shadow val="0"/>
        <u val="none"/>
        <vertAlign val="baseline"/>
        <sz val="11"/>
        <color theme="0"/>
        <name val="Calibri"/>
        <family val="2"/>
        <scheme val="minor"/>
      </font>
      <numFmt numFmtId="3" formatCode="#,##0"/>
      <fill>
        <patternFill patternType="solid">
          <fgColor theme="5"/>
          <bgColor theme="5"/>
        </patternFill>
      </fill>
    </dxf>
    <dxf>
      <font>
        <b val="0"/>
        <i val="0"/>
        <strike val="0"/>
        <condense val="0"/>
        <extend val="0"/>
        <outline val="0"/>
        <shadow val="0"/>
        <u val="none"/>
        <vertAlign val="baseline"/>
        <sz val="11"/>
        <color theme="0"/>
        <name val="Calibri"/>
        <family val="2"/>
        <scheme val="minor"/>
      </font>
      <numFmt numFmtId="14" formatCode="0.00%"/>
      <fill>
        <patternFill patternType="solid">
          <fgColor theme="5"/>
          <bgColor theme="5"/>
        </patternFill>
      </fill>
    </dxf>
    <dxf>
      <font>
        <b val="0"/>
        <i val="0"/>
        <strike val="0"/>
        <condense val="0"/>
        <extend val="0"/>
        <outline val="0"/>
        <shadow val="0"/>
        <u val="none"/>
        <vertAlign val="baseline"/>
        <sz val="11"/>
        <color theme="0"/>
        <name val="Calibri"/>
        <family val="2"/>
        <scheme val="minor"/>
      </font>
      <numFmt numFmtId="3" formatCode="#,##0"/>
      <fill>
        <patternFill patternType="solid">
          <fgColor theme="5"/>
          <bgColor theme="5"/>
        </patternFill>
      </fill>
    </dxf>
    <dxf>
      <font>
        <b val="0"/>
        <i val="0"/>
        <strike val="0"/>
        <condense val="0"/>
        <extend val="0"/>
        <outline val="0"/>
        <shadow val="0"/>
        <u val="none"/>
        <vertAlign val="baseline"/>
        <sz val="11"/>
        <color theme="0"/>
        <name val="Calibri"/>
        <family val="2"/>
        <scheme val="minor"/>
      </font>
      <numFmt numFmtId="3" formatCode="#,##0"/>
      <fill>
        <patternFill patternType="solid">
          <fgColor theme="5"/>
          <bgColor theme="5"/>
        </patternFill>
      </fill>
    </dxf>
    <dxf>
      <font>
        <b val="0"/>
        <i val="0"/>
        <strike val="0"/>
        <condense val="0"/>
        <extend val="0"/>
        <outline val="0"/>
        <shadow val="0"/>
        <u val="none"/>
        <vertAlign val="baseline"/>
        <sz val="11"/>
        <color theme="0"/>
        <name val="Calibri"/>
        <family val="2"/>
        <scheme val="minor"/>
      </font>
      <numFmt numFmtId="3" formatCode="#,##0"/>
      <fill>
        <patternFill patternType="solid">
          <fgColor theme="5"/>
          <bgColor theme="5"/>
        </patternFill>
      </fill>
    </dxf>
    <dxf>
      <font>
        <b val="0"/>
        <i val="0"/>
        <strike val="0"/>
        <condense val="0"/>
        <extend val="0"/>
        <outline val="0"/>
        <shadow val="0"/>
        <u val="none"/>
        <vertAlign val="baseline"/>
        <sz val="11"/>
        <color theme="0"/>
        <name val="Calibri"/>
        <family val="2"/>
        <scheme val="minor"/>
      </font>
      <numFmt numFmtId="19" formatCode="dd/mm/yyyy"/>
      <fill>
        <patternFill patternType="solid">
          <fgColor theme="5"/>
          <bgColor theme="5"/>
        </patternFill>
      </fill>
    </dxf>
    <dxf>
      <font>
        <b val="0"/>
        <i val="0"/>
        <strike val="0"/>
        <condense val="0"/>
        <extend val="0"/>
        <outline val="0"/>
        <shadow val="0"/>
        <u val="none"/>
        <vertAlign val="baseline"/>
        <sz val="11"/>
        <color theme="0"/>
        <name val="Calibri"/>
        <family val="2"/>
        <scheme val="minor"/>
      </font>
      <fill>
        <patternFill patternType="solid">
          <fgColor theme="5"/>
          <bgColor theme="5"/>
        </patternFill>
      </fill>
    </dxf>
    <dxf>
      <font>
        <b val="0"/>
        <i val="0"/>
        <strike val="0"/>
        <condense val="0"/>
        <extend val="0"/>
        <outline val="0"/>
        <shadow val="0"/>
        <u val="none"/>
        <vertAlign val="baseline"/>
        <sz val="11"/>
        <color theme="0"/>
        <name val="Calibri"/>
        <family val="2"/>
        <scheme val="minor"/>
      </font>
      <fill>
        <patternFill patternType="solid">
          <fgColor theme="5"/>
          <bgColor theme="5"/>
        </patternFill>
      </fill>
    </dxf>
    <dxf>
      <font>
        <b val="0"/>
        <i val="0"/>
        <strike val="0"/>
        <condense val="0"/>
        <extend val="0"/>
        <outline val="0"/>
        <shadow val="0"/>
        <u val="none"/>
        <vertAlign val="baseline"/>
        <sz val="11"/>
        <color theme="0"/>
        <name val="Calibri"/>
        <family val="2"/>
        <scheme val="minor"/>
      </font>
      <fill>
        <patternFill patternType="solid">
          <fgColor theme="5"/>
          <bgColor theme="5"/>
        </patternFill>
      </fill>
    </dxf>
    <dxf>
      <font>
        <b val="0"/>
        <i val="0"/>
        <strike val="0"/>
        <condense val="0"/>
        <extend val="0"/>
        <outline val="0"/>
        <shadow val="0"/>
        <u val="none"/>
        <vertAlign val="baseline"/>
        <sz val="11"/>
        <color theme="0"/>
        <name val="Calibri"/>
        <family val="2"/>
        <scheme val="minor"/>
      </font>
      <fill>
        <patternFill patternType="solid">
          <fgColor theme="5"/>
          <bgColor theme="5"/>
        </patternFill>
      </fill>
    </dxf>
    <dxf>
      <font>
        <b val="0"/>
        <i val="0"/>
        <strike val="0"/>
        <condense val="0"/>
        <extend val="0"/>
        <outline val="0"/>
        <shadow val="0"/>
        <u val="none"/>
        <vertAlign val="baseline"/>
        <sz val="11"/>
        <color theme="0"/>
        <name val="Calibri"/>
        <family val="2"/>
        <scheme val="minor"/>
      </font>
      <fill>
        <patternFill patternType="solid">
          <fgColor theme="5"/>
          <bgColor theme="5"/>
        </patternFill>
      </fill>
    </dxf>
    <dxf>
      <border outline="0">
        <bottom style="medium">
          <color theme="0"/>
        </bottom>
      </border>
    </dxf>
    <dxf>
      <numFmt numFmtId="168" formatCode="&quot;Rp&quot;#,##0"/>
    </dxf>
    <dxf>
      <numFmt numFmtId="168" formatCode="&quot;Rp&quot;#,##0"/>
    </dxf>
    <dxf>
      <numFmt numFmtId="168" formatCode="&quot;Rp&quot;#,##0"/>
    </dxf>
    <dxf>
      <numFmt numFmtId="168" formatCode="&quot;Rp&quot;#,##0"/>
    </dxf>
    <dxf>
      <numFmt numFmtId="13" formatCode="0%"/>
      <alignment horizontal="center" vertical="bottom" textRotation="0" wrapText="0" indent="0" justifyLastLine="0" shrinkToFit="0" readingOrder="0"/>
    </dxf>
    <dxf>
      <numFmt numFmtId="0" formatCode="General"/>
    </dxf>
    <dxf>
      <numFmt numFmtId="0" formatCode="General"/>
    </dxf>
    <dxf>
      <numFmt numFmtId="3" formatCode="#,##0"/>
      <alignment horizontal="right" vertical="bottom" textRotation="0" wrapText="0" indent="0" justifyLastLine="0" shrinkToFit="0" readingOrder="0"/>
    </dxf>
    <dxf>
      <numFmt numFmtId="19" formatCode="dd/mm/yyyy"/>
    </dxf>
    <dxf>
      <numFmt numFmtId="3" formatCode="#,##0"/>
      <alignment horizontal="right" vertical="bottom" textRotation="0" wrapText="0" indent="0" justifyLastLine="0" shrinkToFit="0" readingOrder="0"/>
    </dxf>
    <dxf>
      <numFmt numFmtId="0" formatCode="General"/>
    </dxf>
    <dxf>
      <numFmt numFmtId="19" formatCode="dd/mm/yyyy"/>
    </dxf>
    <dxf>
      <numFmt numFmtId="0" formatCode="General"/>
    </dxf>
    <dxf>
      <numFmt numFmtId="0" formatCode="General"/>
    </dxf>
    <dxf>
      <alignment horizontal="center" vertical="bottom" textRotation="0" wrapText="0" indent="0" justifyLastLine="0" shrinkToFit="0" readingOrder="0"/>
    </dxf>
    <dxf>
      <alignment horizontal="center" vertical="center" textRotation="0" wrapText="0" indent="0" justifyLastLine="0" shrinkToFit="0" readingOrder="0"/>
    </dxf>
    <dxf>
      <numFmt numFmtId="0" formatCode="General"/>
    </dxf>
    <dxf>
      <numFmt numFmtId="3" formatCode="#,##0"/>
    </dxf>
    <dxf>
      <numFmt numFmtId="19" formatCode="dd/mm/yyyy"/>
    </dxf>
    <dxf>
      <numFmt numFmtId="0" formatCode="General"/>
    </dxf>
    <dxf>
      <numFmt numFmtId="0" formatCode="General"/>
    </dxf>
    <dxf>
      <numFmt numFmtId="0" formatCode="General"/>
    </dxf>
    <dxf>
      <numFmt numFmtId="14" formatCode="0.00%"/>
    </dxf>
    <dxf>
      <numFmt numFmtId="3" formatCode="#,##0"/>
    </dxf>
    <dxf>
      <numFmt numFmtId="168" formatCode="&quot;Rp&quot;#,##0"/>
    </dxf>
    <dxf>
      <numFmt numFmtId="168" formatCode="&quot;Rp&quot;#,##0"/>
    </dxf>
    <dxf>
      <numFmt numFmtId="168" formatCode="&quot;Rp&quot;#,##0"/>
    </dxf>
    <dxf>
      <numFmt numFmtId="168" formatCode="&quot;Rp&quot;#,##0"/>
    </dxf>
    <dxf>
      <numFmt numFmtId="3" formatCode="#,##0"/>
    </dxf>
    <dxf>
      <numFmt numFmtId="3" formatCode="#,##0"/>
    </dxf>
    <dxf>
      <numFmt numFmtId="0" formatCode="General"/>
    </dxf>
    <dxf>
      <numFmt numFmtId="3" formatCode="#,##0"/>
      <alignment horizontal="general" vertical="center" textRotation="0" wrapText="0" indent="0" justifyLastLine="0" shrinkToFit="0" readingOrder="0"/>
      <border diagonalUp="0" diagonalDown="0">
        <left style="thin">
          <color auto="1"/>
        </left>
        <right/>
        <top style="thin">
          <color auto="1"/>
        </top>
        <bottom style="thin">
          <color auto="1"/>
        </bottom>
        <vertical/>
        <horizontal/>
      </border>
    </dxf>
    <dxf>
      <numFmt numFmtId="19" formatCode="dd/mm/yyyy"/>
      <fill>
        <patternFill patternType="solid">
          <fgColor indexed="64"/>
          <bgColor theme="0"/>
        </patternFill>
      </fill>
      <alignment horizontal="lef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19" formatCode="dd/mm/yyyy"/>
      <fill>
        <patternFill patternType="solid">
          <fgColor indexed="64"/>
          <bgColor theme="0"/>
        </patternFill>
      </fill>
      <alignment horizontal="left" vertical="bottom" textRotation="0" wrapText="0" indent="0" justifyLastLine="0" shrinkToFit="0" readingOrder="0"/>
      <border diagonalUp="0" diagonalDown="0" outline="0">
        <left style="thin">
          <color auto="1"/>
        </left>
        <right style="thin">
          <color auto="1"/>
        </right>
        <top style="thin">
          <color auto="1"/>
        </top>
        <bottom style="thin">
          <color auto="1"/>
        </bottom>
      </border>
    </dxf>
    <dxf>
      <numFmt numFmtId="169" formatCode="[$-13809]dd/mm/yyyy;@"/>
      <fill>
        <patternFill patternType="solid">
          <fgColor indexed="64"/>
          <bgColor theme="0"/>
        </patternFill>
      </fill>
      <alignment horizontal="right" textRotation="0" wrapText="0" indent="0" justifyLastLine="0" shrinkToFit="0" readingOrder="0"/>
      <border diagonalUp="0" diagonalDown="0" outline="0">
        <left/>
        <right style="thin">
          <color auto="1"/>
        </right>
        <top style="thin">
          <color auto="1"/>
        </top>
        <bottom style="thin">
          <color auto="1"/>
        </bottom>
      </border>
    </dxf>
    <dxf>
      <border outline="0">
        <top style="thin">
          <color auto="1"/>
        </top>
      </border>
    </dxf>
    <dxf>
      <border outline="0">
        <left style="thin">
          <color auto="1"/>
        </left>
        <right style="thin">
          <color auto="1"/>
        </right>
        <top style="thin">
          <color auto="1"/>
        </top>
        <bottom style="thin">
          <color auto="1"/>
        </bottom>
      </border>
    </dxf>
    <dxf>
      <border outline="0">
        <bottom style="thin">
          <color auto="1"/>
        </bottom>
      </border>
    </dxf>
  </dxfs>
  <tableStyles count="0" defaultTableStyle="TableStyleMedium2" defaultPivotStyle="PivotStyleLight16"/>
  <colors>
    <mruColors>
      <color rgb="FF18984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1.xml"/><Relationship Id="rId18"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pivotCacheDefinition" Target="pivotCache/pivotCacheDefinition5.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4.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pivotCacheDefinition" Target="pivotCache/pivotCacheDefinition3.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microsoft.com/office/2007/relationships/slicerCache" Target="slicerCaches/slicerCache2.xml"/><Relationship Id="rId2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PEKERJAAN PROJECT SULSEL PERIODE 2026.xlsx]PV!PivotTable20</c:name>
    <c:fmtId val="2"/>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solidFill>
              <a:srgbClr val="FF00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dLbl>
          <c:idx val="0"/>
          <c:layout>
            <c:manualLayout>
              <c:x val="-1.3290341975991465E-16"/>
              <c:y val="-4.8156345072443069E-2"/>
            </c:manualLayout>
          </c:layout>
          <c:spPr>
            <a:solidFill>
              <a:srgbClr val="FF00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PV!$E$3</c:f>
              <c:strCache>
                <c:ptCount val="1"/>
                <c:pt idx="0">
                  <c:v>Total</c:v>
                </c:pt>
              </c:strCache>
            </c:strRef>
          </c:tx>
          <c:spPr>
            <a:solidFill>
              <a:schemeClr val="accent1"/>
            </a:solidFill>
            <a:ln>
              <a:noFill/>
            </a:ln>
            <a:effectLst/>
            <a:sp3d/>
          </c:spPr>
          <c:invertIfNegative val="0"/>
          <c:dPt>
            <c:idx val="4"/>
            <c:invertIfNegative val="0"/>
            <c:bubble3D val="0"/>
            <c:spPr>
              <a:solidFill>
                <a:schemeClr val="accent1"/>
              </a:solidFill>
              <a:ln>
                <a:noFill/>
              </a:ln>
              <a:effectLst/>
              <a:sp3d/>
            </c:spPr>
            <c:extLst>
              <c:ext xmlns:c16="http://schemas.microsoft.com/office/drawing/2014/chart" uri="{C3380CC4-5D6E-409C-BE32-E72D297353CC}">
                <c16:uniqueId val="{00000000-65F8-4358-8EAF-A76A32872700}"/>
              </c:ext>
            </c:extLst>
          </c:dPt>
          <c:dLbls>
            <c:dLbl>
              <c:idx val="4"/>
              <c:layout>
                <c:manualLayout>
                  <c:x val="-1.3290341975991465E-16"/>
                  <c:y val="-4.815634507244306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5F8-4358-8EAF-A76A32872700}"/>
                </c:ext>
              </c:extLst>
            </c:dLbl>
            <c:spPr>
              <a:solidFill>
                <a:srgbClr val="FF00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PV!$D$4:$D$10</c:f>
              <c:strCache>
                <c:ptCount val="6"/>
                <c:pt idx="0">
                  <c:v>Jan</c:v>
                </c:pt>
                <c:pt idx="1">
                  <c:v>Feb</c:v>
                </c:pt>
                <c:pt idx="2">
                  <c:v>Mar</c:v>
                </c:pt>
                <c:pt idx="3">
                  <c:v>Apr</c:v>
                </c:pt>
                <c:pt idx="4">
                  <c:v>May</c:v>
                </c:pt>
                <c:pt idx="5">
                  <c:v>Jul</c:v>
                </c:pt>
              </c:strCache>
            </c:strRef>
          </c:cat>
          <c:val>
            <c:numRef>
              <c:f>PV!$E$4:$E$10</c:f>
              <c:numCache>
                <c:formatCode>#,##0</c:formatCode>
                <c:ptCount val="6"/>
                <c:pt idx="0">
                  <c:v>75946550</c:v>
                </c:pt>
                <c:pt idx="1">
                  <c:v>149414980</c:v>
                </c:pt>
                <c:pt idx="2">
                  <c:v>452210100</c:v>
                </c:pt>
                <c:pt idx="3">
                  <c:v>12815440</c:v>
                </c:pt>
                <c:pt idx="4">
                  <c:v>60330170</c:v>
                </c:pt>
                <c:pt idx="5">
                  <c:v>8898600</c:v>
                </c:pt>
              </c:numCache>
            </c:numRef>
          </c:val>
          <c:extLst>
            <c:ext xmlns:c16="http://schemas.microsoft.com/office/drawing/2014/chart" uri="{C3380CC4-5D6E-409C-BE32-E72D297353CC}">
              <c16:uniqueId val="{00000000-5340-435F-B8EB-8312076A7D41}"/>
            </c:ext>
          </c:extLst>
        </c:ser>
        <c:dLbls>
          <c:showLegendKey val="0"/>
          <c:showVal val="1"/>
          <c:showCatName val="0"/>
          <c:showSerName val="0"/>
          <c:showPercent val="0"/>
          <c:showBubbleSize val="0"/>
        </c:dLbls>
        <c:gapWidth val="150"/>
        <c:shape val="box"/>
        <c:axId val="2007023184"/>
        <c:axId val="2007025104"/>
        <c:axId val="0"/>
      </c:bar3DChart>
      <c:catAx>
        <c:axId val="2007023184"/>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7025104"/>
        <c:crosses val="autoZero"/>
        <c:auto val="1"/>
        <c:lblAlgn val="ctr"/>
        <c:lblOffset val="100"/>
        <c:noMultiLvlLbl val="0"/>
      </c:catAx>
      <c:valAx>
        <c:axId val="2007025104"/>
        <c:scaling>
          <c:orientation val="minMax"/>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70231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PEKERJAAN PROJECT SULSEL PERIODE 2026.xlsx]PV!PivotTable21</c:name>
    <c:fmtId val="2"/>
  </c:pivotSource>
  <c:chart>
    <c:autoTitleDeleted val="1"/>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marker>
          <c:symbol val="none"/>
        </c:marker>
        <c:dLbl>
          <c:idx val="0"/>
          <c:spPr>
            <a:solidFill>
              <a:schemeClr val="tx2">
                <a:lumMod val="7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B050"/>
          </a:solidFill>
          <a:ln w="25400">
            <a:solidFill>
              <a:schemeClr val="lt1"/>
            </a:solidFill>
          </a:ln>
          <a:effectLst/>
          <a:sp3d contourW="25400">
            <a:contourClr>
              <a:schemeClr val="lt1"/>
            </a:contourClr>
          </a:sp3d>
        </c:spPr>
      </c:pivotFmt>
      <c:pivotFmt>
        <c:idx val="8"/>
        <c:spPr>
          <a:solidFill>
            <a:srgbClr val="0070C0"/>
          </a:solidFill>
          <a:ln w="25400">
            <a:solidFill>
              <a:schemeClr val="lt1"/>
            </a:solidFill>
          </a:ln>
          <a:effectLst/>
          <a:sp3d contourW="25400">
            <a:contourClr>
              <a:schemeClr val="lt1"/>
            </a:contourClr>
          </a:sp3d>
        </c:spPr>
      </c:pivotFmt>
      <c:pivotFmt>
        <c:idx val="9"/>
        <c:spPr>
          <a:solidFill>
            <a:srgbClr val="00B0F0"/>
          </a:solidFill>
          <a:ln w="25400">
            <a:solidFill>
              <a:schemeClr val="lt1"/>
            </a:solidFill>
          </a:ln>
          <a:effectLst/>
          <a:sp3d contourW="25400">
            <a:contourClr>
              <a:schemeClr val="lt1"/>
            </a:contourClr>
          </a:sp3d>
        </c:spPr>
      </c:pivotFmt>
      <c:pivotFmt>
        <c:idx val="10"/>
        <c:spPr>
          <a:solidFill>
            <a:srgbClr val="FF0000"/>
          </a:solidFill>
          <a:ln w="25400">
            <a:solidFill>
              <a:schemeClr val="lt1"/>
            </a:solidFill>
          </a:ln>
          <a:effectLst/>
          <a:sp3d contourW="25400">
            <a:contourClr>
              <a:schemeClr val="lt1"/>
            </a:contourClr>
          </a:sp3d>
        </c:spPr>
      </c:pivotFmt>
      <c:pivotFmt>
        <c:idx val="11"/>
        <c:spPr>
          <a:solidFill>
            <a:srgbClr val="FF0000"/>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dLbl>
          <c:idx val="0"/>
          <c:layout>
            <c:manualLayout>
              <c:x val="-0.11506736948608325"/>
              <c:y val="-0.14617040234629167"/>
            </c:manualLayout>
          </c:layout>
          <c:spPr>
            <a:solidFill>
              <a:schemeClr val="tx2">
                <a:lumMod val="7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9.2806116626726026E-2"/>
          <c:y val="0.14821428571428572"/>
          <c:w val="0.57050879509626518"/>
          <c:h val="0.71785714285714286"/>
        </c:manualLayout>
      </c:layout>
      <c:pie3DChart>
        <c:varyColors val="1"/>
        <c:ser>
          <c:idx val="0"/>
          <c:order val="0"/>
          <c:tx>
            <c:strRef>
              <c:f>PV!$E$14</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A28C-4AD8-A826-EA10335005EE}"/>
              </c:ext>
            </c:extLst>
          </c:dPt>
          <c:dPt>
            <c:idx val="1"/>
            <c:bubble3D val="0"/>
            <c:spPr>
              <a:solidFill>
                <a:srgbClr val="FF0000"/>
              </a:solidFill>
              <a:ln w="25400">
                <a:solidFill>
                  <a:schemeClr val="lt1"/>
                </a:solidFill>
              </a:ln>
              <a:effectLst/>
              <a:sp3d contourW="25400">
                <a:contourClr>
                  <a:schemeClr val="lt1"/>
                </a:contourClr>
              </a:sp3d>
            </c:spPr>
            <c:extLst>
              <c:ext xmlns:c16="http://schemas.microsoft.com/office/drawing/2014/chart" uri="{C3380CC4-5D6E-409C-BE32-E72D297353CC}">
                <c16:uniqueId val="{00000003-A28C-4AD8-A826-EA10335005EE}"/>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A28C-4AD8-A826-EA10335005EE}"/>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A28C-4AD8-A826-EA10335005EE}"/>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E787-4B22-8633-6A7093D3CFD5}"/>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E787-4B22-8633-6A7093D3CFD5}"/>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7882-41BB-807D-A48019158281}"/>
              </c:ext>
            </c:extLst>
          </c:dPt>
          <c:dLbls>
            <c:dLbl>
              <c:idx val="2"/>
              <c:layout>
                <c:manualLayout>
                  <c:x val="-0.11506736948608325"/>
                  <c:y val="-0.14617040234629167"/>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28C-4AD8-A826-EA10335005EE}"/>
                </c:ext>
              </c:extLst>
            </c:dLbl>
            <c:spPr>
              <a:solidFill>
                <a:schemeClr val="tx2">
                  <a:lumMod val="7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PV!$D$15:$D$22</c:f>
              <c:strCache>
                <c:ptCount val="7"/>
                <c:pt idx="0">
                  <c:v>DONE INSTALL 100%</c:v>
                </c:pt>
                <c:pt idx="1">
                  <c:v>DROP</c:v>
                </c:pt>
                <c:pt idx="2">
                  <c:v>MENUNGGU BOQ UT</c:v>
                </c:pt>
                <c:pt idx="3">
                  <c:v>MENUNGGU JADWAL UT</c:v>
                </c:pt>
                <c:pt idx="4">
                  <c:v>UJI TERIMA</c:v>
                </c:pt>
                <c:pt idx="5">
                  <c:v>REKON MATERIAL</c:v>
                </c:pt>
                <c:pt idx="6">
                  <c:v>BAST</c:v>
                </c:pt>
              </c:strCache>
            </c:strRef>
          </c:cat>
          <c:val>
            <c:numRef>
              <c:f>PV!$E$15:$E$22</c:f>
              <c:numCache>
                <c:formatCode>0.00%</c:formatCode>
                <c:ptCount val="7"/>
                <c:pt idx="0">
                  <c:v>1.1714605635395912E-2</c:v>
                </c:pt>
                <c:pt idx="1">
                  <c:v>0.24026631672135748</c:v>
                </c:pt>
                <c:pt idx="2">
                  <c:v>7.218016938667314E-2</c:v>
                </c:pt>
                <c:pt idx="3">
                  <c:v>0.35415853097534145</c:v>
                </c:pt>
                <c:pt idx="4">
                  <c:v>7.9421948336411738E-2</c:v>
                </c:pt>
                <c:pt idx="5">
                  <c:v>0.1422782205278921</c:v>
                </c:pt>
                <c:pt idx="6">
                  <c:v>9.9980208416928215E-2</c:v>
                </c:pt>
              </c:numCache>
            </c:numRef>
          </c:val>
          <c:extLst>
            <c:ext xmlns:c16="http://schemas.microsoft.com/office/drawing/2014/chart" uri="{C3380CC4-5D6E-409C-BE32-E72D297353CC}">
              <c16:uniqueId val="{00000008-A28C-4AD8-A826-EA10335005EE}"/>
            </c:ext>
          </c:extLst>
        </c:ser>
        <c:dLbls>
          <c:dLblPos val="bestFit"/>
          <c:showLegendKey val="0"/>
          <c:showVal val="1"/>
          <c:showCatName val="0"/>
          <c:showSerName val="0"/>
          <c:showPercent val="0"/>
          <c:showBubbleSize val="0"/>
          <c:showLeaderLines val="1"/>
        </c:dLbls>
      </c:pie3DChart>
      <c:spPr>
        <a:noFill/>
        <a:ln>
          <a:noFill/>
        </a:ln>
        <a:effectLst/>
      </c:spPr>
    </c:plotArea>
    <c:legend>
      <c:legendPos val="r"/>
      <c:layout>
        <c:manualLayout>
          <c:xMode val="edge"/>
          <c:yMode val="edge"/>
          <c:x val="0.674350442613454"/>
          <c:y val="3.3508773075441263E-2"/>
          <c:w val="0.30163847569256597"/>
          <c:h val="0.9398933866182573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PEKERJAAN PROJECT SULSEL PERIODE 2026.xlsx]PV!PivotTable2</c:name>
    <c:fmtId val="2"/>
  </c:pivotSource>
  <c:chart>
    <c:autoTitleDeleted val="1"/>
    <c:pivotFmts>
      <c:pivotFmt>
        <c:idx val="0"/>
        <c:spPr>
          <a:solidFill>
            <a:schemeClr val="accent1"/>
          </a:solidFill>
          <a:ln w="28575" cap="rnd">
            <a:solidFill>
              <a:srgbClr val="18984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18984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rgbClr val="189843"/>
            </a:solidFill>
            <a:round/>
          </a:ln>
          <a:effectLst/>
        </c:spPr>
        <c:marker>
          <c:symbol val="none"/>
        </c:marker>
        <c:dLbl>
          <c:idx val="0"/>
          <c:spPr>
            <a:solidFill>
              <a:srgbClr val="FF00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rgbClr val="189843"/>
            </a:solidFill>
            <a:round/>
          </a:ln>
          <a:effectLst/>
        </c:spPr>
        <c:marker>
          <c:symbol val="none"/>
        </c:marker>
        <c:dLbl>
          <c:idx val="0"/>
          <c:layout>
            <c:manualLayout>
              <c:x val="-0.15021077613925279"/>
              <c:y val="-4.0989076515142053E-2"/>
            </c:manualLayout>
          </c:layout>
          <c:spPr>
            <a:solidFill>
              <a:srgbClr val="FF00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rgbClr val="189843"/>
            </a:solidFill>
            <a:round/>
          </a:ln>
          <a:effectLst/>
        </c:spPr>
        <c:marker>
          <c:symbol val="none"/>
        </c:marker>
        <c:dLbl>
          <c:idx val="0"/>
          <c:layout>
            <c:manualLayout>
              <c:x val="-0.1126415795708065"/>
              <c:y val="-0.16509242460765533"/>
            </c:manualLayout>
          </c:layout>
          <c:spPr>
            <a:solidFill>
              <a:srgbClr val="FF00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rgbClr val="189843"/>
            </a:solidFill>
            <a:round/>
          </a:ln>
          <a:effectLst/>
        </c:spPr>
        <c:marker>
          <c:symbol val="none"/>
        </c:marker>
        <c:dLbl>
          <c:idx val="0"/>
          <c:layout>
            <c:manualLayout>
              <c:x val="-1.8686647762013084E-3"/>
              <c:y val="-0.10064259524745943"/>
            </c:manualLayout>
          </c:layout>
          <c:spPr>
            <a:solidFill>
              <a:srgbClr val="FF00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rgbClr val="189843"/>
            </a:solidFill>
            <a:round/>
          </a:ln>
          <a:effectLst/>
        </c:spPr>
        <c:marker>
          <c:symbol val="none"/>
        </c:marker>
        <c:dLbl>
          <c:idx val="0"/>
          <c:layout>
            <c:manualLayout>
              <c:x val="-6.1850887669002673E-2"/>
              <c:y val="-9.2586366577434978E-2"/>
            </c:manualLayout>
          </c:layout>
          <c:spPr>
            <a:solidFill>
              <a:srgbClr val="FF00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PV!$I$14:$I$15</c:f>
              <c:strCache>
                <c:ptCount val="1"/>
                <c:pt idx="0">
                  <c:v>KAS MASUK</c:v>
                </c:pt>
              </c:strCache>
            </c:strRef>
          </c:tx>
          <c:spPr>
            <a:ln w="28575" cap="rnd">
              <a:solidFill>
                <a:srgbClr val="189843"/>
              </a:solidFill>
              <a:round/>
            </a:ln>
            <a:effectLst/>
          </c:spPr>
          <c:marker>
            <c:symbol val="none"/>
          </c:marker>
          <c:dPt>
            <c:idx val="4"/>
            <c:marker>
              <c:symbol val="none"/>
            </c:marker>
            <c:bubble3D val="0"/>
            <c:spPr>
              <a:ln w="28575" cap="rnd">
                <a:solidFill>
                  <a:srgbClr val="189843"/>
                </a:solidFill>
                <a:round/>
              </a:ln>
              <a:effectLst/>
            </c:spPr>
            <c:extLst>
              <c:ext xmlns:c16="http://schemas.microsoft.com/office/drawing/2014/chart" uri="{C3380CC4-5D6E-409C-BE32-E72D297353CC}">
                <c16:uniqueId val="{00000004-AF6B-4AA3-8417-B3ADEDB9784E}"/>
              </c:ext>
            </c:extLst>
          </c:dPt>
          <c:dPt>
            <c:idx val="5"/>
            <c:marker>
              <c:symbol val="none"/>
            </c:marker>
            <c:bubble3D val="0"/>
            <c:spPr>
              <a:ln w="28575" cap="rnd">
                <a:solidFill>
                  <a:srgbClr val="189843"/>
                </a:solidFill>
                <a:round/>
              </a:ln>
              <a:effectLst/>
            </c:spPr>
            <c:extLst>
              <c:ext xmlns:c16="http://schemas.microsoft.com/office/drawing/2014/chart" uri="{C3380CC4-5D6E-409C-BE32-E72D297353CC}">
                <c16:uniqueId val="{00000001-AA9B-436C-9E90-2FE9ECB56F24}"/>
              </c:ext>
            </c:extLst>
          </c:dPt>
          <c:dPt>
            <c:idx val="6"/>
            <c:marker>
              <c:symbol val="none"/>
            </c:marker>
            <c:bubble3D val="0"/>
            <c:spPr>
              <a:ln w="28575" cap="rnd">
                <a:solidFill>
                  <a:srgbClr val="189843"/>
                </a:solidFill>
                <a:round/>
              </a:ln>
              <a:effectLst/>
            </c:spPr>
            <c:extLst>
              <c:ext xmlns:c16="http://schemas.microsoft.com/office/drawing/2014/chart" uri="{C3380CC4-5D6E-409C-BE32-E72D297353CC}">
                <c16:uniqueId val="{00000002-F9FE-4461-8061-1BB6AC570D16}"/>
              </c:ext>
            </c:extLst>
          </c:dPt>
          <c:dPt>
            <c:idx val="7"/>
            <c:marker>
              <c:symbol val="none"/>
            </c:marker>
            <c:bubble3D val="0"/>
            <c:spPr>
              <a:ln w="28575" cap="rnd">
                <a:solidFill>
                  <a:srgbClr val="189843"/>
                </a:solidFill>
                <a:round/>
              </a:ln>
              <a:effectLst/>
            </c:spPr>
            <c:extLst>
              <c:ext xmlns:c16="http://schemas.microsoft.com/office/drawing/2014/chart" uri="{C3380CC4-5D6E-409C-BE32-E72D297353CC}">
                <c16:uniqueId val="{00000004-C6D3-47DD-A7C6-8BFD4D17FAFE}"/>
              </c:ext>
            </c:extLst>
          </c:dPt>
          <c:dLbls>
            <c:dLbl>
              <c:idx val="4"/>
              <c:layout>
                <c:manualLayout>
                  <c:x val="-6.1850887669002673E-2"/>
                  <c:y val="-9.258636657743497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F6B-4AA3-8417-B3ADEDB9784E}"/>
                </c:ext>
              </c:extLst>
            </c:dLbl>
            <c:dLbl>
              <c:idx val="5"/>
              <c:layout>
                <c:manualLayout>
                  <c:x val="-0.15021077613925279"/>
                  <c:y val="-4.098907651514205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A9B-436C-9E90-2FE9ECB56F24}"/>
                </c:ext>
              </c:extLst>
            </c:dLbl>
            <c:dLbl>
              <c:idx val="6"/>
              <c:layout>
                <c:manualLayout>
                  <c:x val="-0.1126415795708065"/>
                  <c:y val="-0.1650924246076553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9FE-4461-8061-1BB6AC570D16}"/>
                </c:ext>
              </c:extLst>
            </c:dLbl>
            <c:dLbl>
              <c:idx val="7"/>
              <c:layout>
                <c:manualLayout>
                  <c:x val="-1.8686647762013084E-3"/>
                  <c:y val="-0.1006425952474594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6D3-47DD-A7C6-8BFD4D17FAFE}"/>
                </c:ext>
              </c:extLst>
            </c:dLbl>
            <c:spPr>
              <a:solidFill>
                <a:srgbClr val="FF00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PV!$H$16:$H$24</c:f>
              <c:strCache>
                <c:ptCount val="8"/>
                <c:pt idx="0">
                  <c:v>Jan</c:v>
                </c:pt>
                <c:pt idx="1">
                  <c:v>Feb</c:v>
                </c:pt>
                <c:pt idx="2">
                  <c:v>Mar</c:v>
                </c:pt>
                <c:pt idx="3">
                  <c:v>Apr</c:v>
                </c:pt>
                <c:pt idx="4">
                  <c:v>May</c:v>
                </c:pt>
                <c:pt idx="5">
                  <c:v>Jul</c:v>
                </c:pt>
                <c:pt idx="6">
                  <c:v>Aug</c:v>
                </c:pt>
                <c:pt idx="7">
                  <c:v>Sep</c:v>
                </c:pt>
              </c:strCache>
            </c:strRef>
          </c:cat>
          <c:val>
            <c:numRef>
              <c:f>PV!$I$16:$I$24</c:f>
              <c:numCache>
                <c:formatCode>#,##0</c:formatCode>
                <c:ptCount val="8"/>
                <c:pt idx="0">
                  <c:v>47500000</c:v>
                </c:pt>
                <c:pt idx="1">
                  <c:v>16000000</c:v>
                </c:pt>
                <c:pt idx="2">
                  <c:v>86000000</c:v>
                </c:pt>
                <c:pt idx="3">
                  <c:v>133072650.5</c:v>
                </c:pt>
                <c:pt idx="4">
                  <c:v>91144488.099999994</c:v>
                </c:pt>
                <c:pt idx="5">
                  <c:v>1500000</c:v>
                </c:pt>
                <c:pt idx="6">
                  <c:v>4919261</c:v>
                </c:pt>
                <c:pt idx="7">
                  <c:v>1600000</c:v>
                </c:pt>
              </c:numCache>
            </c:numRef>
          </c:val>
          <c:smooth val="0"/>
          <c:extLst>
            <c:ext xmlns:c16="http://schemas.microsoft.com/office/drawing/2014/chart" uri="{C3380CC4-5D6E-409C-BE32-E72D297353CC}">
              <c16:uniqueId val="{00000000-AA9B-436C-9E90-2FE9ECB56F24}"/>
            </c:ext>
          </c:extLst>
        </c:ser>
        <c:dLbls>
          <c:showLegendKey val="0"/>
          <c:showVal val="0"/>
          <c:showCatName val="0"/>
          <c:showSerName val="0"/>
          <c:showPercent val="0"/>
          <c:showBubbleSize val="0"/>
        </c:dLbls>
        <c:smooth val="0"/>
        <c:axId val="843461616"/>
        <c:axId val="843450096"/>
      </c:lineChart>
      <c:catAx>
        <c:axId val="843461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3450096"/>
        <c:crosses val="autoZero"/>
        <c:auto val="1"/>
        <c:lblAlgn val="ctr"/>
        <c:lblOffset val="100"/>
        <c:noMultiLvlLbl val="0"/>
      </c:catAx>
      <c:valAx>
        <c:axId val="843450096"/>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3461616"/>
        <c:crosses val="autoZero"/>
        <c:crossBetween val="between"/>
      </c:valAx>
      <c:spPr>
        <a:noFill/>
        <a:ln>
          <a:solidFill>
            <a:schemeClr val="bg1"/>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PEKERJAAN PROJECT SULSEL PERIODE 2026.xlsx]PV!PivotTable1</c:name>
    <c:fmtId val="7"/>
  </c:pivotSource>
  <c:chart>
    <c:autoTitleDeleted val="1"/>
    <c:pivotFmts>
      <c:pivotFmt>
        <c:idx val="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PV!$I$3</c:f>
              <c:strCache>
                <c:ptCount val="1"/>
                <c:pt idx="0">
                  <c:v>Total</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PV!$H$4:$H$11</c:f>
              <c:strCache>
                <c:ptCount val="7"/>
                <c:pt idx="0">
                  <c:v>WO#234 SILANGGA_KARENPIA_PL - TOMBOLO_PAO_AG</c:v>
                </c:pt>
                <c:pt idx="1">
                  <c:v>BLK044</c:v>
                </c:pt>
                <c:pt idx="2">
                  <c:v>WTP192</c:v>
                </c:pt>
                <c:pt idx="3">
                  <c:v>JNP067</c:v>
                </c:pt>
                <c:pt idx="4">
                  <c:v>R5 MKS WTP PT3 MD 1650 CORAWALIE</c:v>
                </c:pt>
                <c:pt idx="5">
                  <c:v>R5 MKS WTP PT3 MD PATTIRO RIOLO</c:v>
                </c:pt>
                <c:pt idx="6">
                  <c:v>R5 MKS WTP PT3 MD DESA MICO</c:v>
                </c:pt>
              </c:strCache>
            </c:strRef>
          </c:cat>
          <c:val>
            <c:numRef>
              <c:f>PV!$I$4:$I$11</c:f>
              <c:numCache>
                <c:formatCode>#,##0</c:formatCode>
                <c:ptCount val="7"/>
                <c:pt idx="0">
                  <c:v>35425510</c:v>
                </c:pt>
                <c:pt idx="1">
                  <c:v>36184890</c:v>
                </c:pt>
                <c:pt idx="2">
                  <c:v>60330170</c:v>
                </c:pt>
                <c:pt idx="3">
                  <c:v>61083710</c:v>
                </c:pt>
                <c:pt idx="4">
                  <c:v>79695390</c:v>
                </c:pt>
                <c:pt idx="5">
                  <c:v>141171910</c:v>
                </c:pt>
                <c:pt idx="6">
                  <c:v>145297850</c:v>
                </c:pt>
              </c:numCache>
            </c:numRef>
          </c:val>
          <c:extLst>
            <c:ext xmlns:c16="http://schemas.microsoft.com/office/drawing/2014/chart" uri="{C3380CC4-5D6E-409C-BE32-E72D297353CC}">
              <c16:uniqueId val="{00000000-3D44-499C-B9BD-424AEA1BDD90}"/>
            </c:ext>
          </c:extLst>
        </c:ser>
        <c:dLbls>
          <c:dLblPos val="outEnd"/>
          <c:showLegendKey val="0"/>
          <c:showVal val="1"/>
          <c:showCatName val="0"/>
          <c:showSerName val="0"/>
          <c:showPercent val="0"/>
          <c:showBubbleSize val="0"/>
        </c:dLbls>
        <c:gapWidth val="182"/>
        <c:axId val="2128886256"/>
        <c:axId val="2128887216"/>
      </c:barChart>
      <c:catAx>
        <c:axId val="21288862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8887216"/>
        <c:crosses val="autoZero"/>
        <c:auto val="1"/>
        <c:lblAlgn val="ctr"/>
        <c:lblOffset val="100"/>
        <c:noMultiLvlLbl val="0"/>
      </c:catAx>
      <c:valAx>
        <c:axId val="2128887216"/>
        <c:scaling>
          <c:orientation val="minMax"/>
        </c:scaling>
        <c:delete val="1"/>
        <c:axPos val="b"/>
        <c:numFmt formatCode="#,##0" sourceLinked="1"/>
        <c:majorTickMark val="none"/>
        <c:minorTickMark val="none"/>
        <c:tickLblPos val="nextTo"/>
        <c:crossAx val="21288862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PEKERJAAN PROJECT SULSEL PERIODE 2026.xlsx]DATA CASH!PivotTable3</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D" sz="1100"/>
              <a:t>REPOR</a:t>
            </a:r>
            <a:r>
              <a:rPr lang="en-ID" sz="1100" baseline="0"/>
              <a:t>T PENERIMAAN DAN ALOKASI KAS PERIODE 2026</a:t>
            </a:r>
            <a:endParaRPr lang="en-ID" sz="1100"/>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D"/>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solidFill>
              <a:srgbClr val="FF0000"/>
            </a:solidFill>
            <a:ln w="9525">
              <a:solidFill>
                <a:schemeClr val="accent1"/>
              </a:solidFill>
              <a:round/>
            </a:ln>
            <a:effectLst>
              <a:outerShdw blurRad="57150" dist="19050" dir="5400000" algn="ctr" rotWithShape="0">
                <a:srgbClr val="000000">
                  <a:alpha val="63000"/>
                </a:srgbClr>
              </a:outerShdw>
            </a:effectLst>
          </c:spPr>
        </c:marker>
        <c:dLbl>
          <c:idx val="0"/>
          <c:numFmt formatCode="#,##0,,\ &quot;JT&quot;" sourceLinked="0"/>
          <c:spPr>
            <a:solidFill>
              <a:srgbClr val="FF00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7150" dist="19050" dir="5400000" algn="ctr" rotWithShape="0">
              <a:srgbClr val="000000">
                <a:alpha val="63000"/>
              </a:srgbClr>
            </a:outerShdw>
          </a:effectLst>
        </c:spPr>
        <c:marker>
          <c:symbol val="circle"/>
          <c:size val="6"/>
          <c:spPr>
            <a:solidFill>
              <a:srgbClr val="7030A0"/>
            </a:solidFill>
            <a:ln w="9525">
              <a:solidFill>
                <a:schemeClr val="accent2"/>
              </a:solidFill>
              <a:round/>
            </a:ln>
            <a:effectLst>
              <a:outerShdw blurRad="57150" dist="19050" dir="5400000" algn="ctr" rotWithShape="0">
                <a:srgbClr val="000000">
                  <a:alpha val="63000"/>
                </a:srgbClr>
              </a:outerShdw>
            </a:effectLst>
          </c:spPr>
        </c:marker>
        <c:dLbl>
          <c:idx val="0"/>
          <c:numFmt formatCode="#,##0,,\ &quot;JT&quot;" sourceLinked="0"/>
          <c:spPr>
            <a:solidFill>
              <a:srgbClr val="7030A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1"/>
        <c:spPr>
          <a:ln w="34925" cap="rnd">
            <a:solidFill>
              <a:schemeClr val="accent1"/>
            </a:solidFill>
            <a:round/>
          </a:ln>
          <a:effectLst>
            <a:outerShdw blurRad="57150" dist="19050" dir="5400000" algn="ctr" rotWithShape="0">
              <a:srgbClr val="000000">
                <a:alpha val="63000"/>
              </a:srgbClr>
            </a:outerShdw>
          </a:effectLst>
        </c:spPr>
        <c:marker>
          <c:symbol val="circle"/>
          <c:size val="6"/>
          <c:spPr>
            <a:solidFill>
              <a:srgbClr val="FF0000"/>
            </a:solidFill>
            <a:ln w="9525">
              <a:solidFill>
                <a:schemeClr val="accent1"/>
              </a:solidFill>
              <a:round/>
            </a:ln>
            <a:effectLst>
              <a:outerShdw blurRad="57150" dist="19050" dir="5400000" algn="ctr" rotWithShape="0">
                <a:srgbClr val="000000">
                  <a:alpha val="63000"/>
                </a:srgbClr>
              </a:outerShdw>
            </a:effectLst>
          </c:spPr>
        </c:marker>
        <c:dLbl>
          <c:idx val="0"/>
          <c:layout>
            <c:manualLayout>
              <c:x val="-5.5491033850809247E-4"/>
              <c:y val="4.633092738407682E-2"/>
            </c:manualLayout>
          </c:layout>
          <c:numFmt formatCode="#,##0,,\ &quot;JT&quot;" sourceLinked="0"/>
          <c:spPr>
            <a:solidFill>
              <a:srgbClr val="FF00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ln w="34925" cap="rnd">
            <a:solidFill>
              <a:schemeClr val="accent2"/>
            </a:solidFill>
            <a:round/>
          </a:ln>
          <a:effectLst>
            <a:outerShdw blurRad="57150" dist="19050" dir="5400000" algn="ctr" rotWithShape="0">
              <a:srgbClr val="000000">
                <a:alpha val="63000"/>
              </a:srgbClr>
            </a:outerShdw>
          </a:effectLst>
        </c:spPr>
        <c:marker>
          <c:symbol val="circle"/>
          <c:size val="6"/>
          <c:spPr>
            <a:solidFill>
              <a:srgbClr val="7030A0"/>
            </a:solidFill>
            <a:ln w="9525">
              <a:solidFill>
                <a:schemeClr val="accent2"/>
              </a:solidFill>
              <a:round/>
            </a:ln>
            <a:effectLst>
              <a:outerShdw blurRad="57150" dist="19050" dir="5400000" algn="ctr" rotWithShape="0">
                <a:srgbClr val="000000">
                  <a:alpha val="63000"/>
                </a:srgbClr>
              </a:outerShdw>
            </a:effectLst>
          </c:spPr>
        </c:marker>
        <c:dLbl>
          <c:idx val="0"/>
          <c:layout>
            <c:manualLayout>
              <c:x val="-5.7388469201836913E-2"/>
              <c:y val="3.7071668124817728E-2"/>
            </c:manualLayout>
          </c:layout>
          <c:numFmt formatCode="#,##0,,\ &quot;JT&quot;" sourceLinked="0"/>
          <c:spPr>
            <a:solidFill>
              <a:srgbClr val="7030A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3"/>
        <c:spPr>
          <a:ln w="34925" cap="rnd">
            <a:solidFill>
              <a:schemeClr val="accent2"/>
            </a:solidFill>
            <a:round/>
          </a:ln>
          <a:effectLst>
            <a:outerShdw blurRad="57150" dist="19050" dir="5400000" algn="ctr" rotWithShape="0">
              <a:srgbClr val="000000">
                <a:alpha val="63000"/>
              </a:srgbClr>
            </a:outerShdw>
          </a:effectLst>
        </c:spPr>
        <c:marker>
          <c:symbol val="circle"/>
          <c:size val="6"/>
          <c:spPr>
            <a:solidFill>
              <a:srgbClr val="7030A0"/>
            </a:solidFill>
            <a:ln w="9525">
              <a:solidFill>
                <a:schemeClr val="accent2"/>
              </a:solidFill>
              <a:round/>
            </a:ln>
            <a:effectLst>
              <a:outerShdw blurRad="57150" dist="19050" dir="5400000" algn="ctr" rotWithShape="0">
                <a:srgbClr val="000000">
                  <a:alpha val="63000"/>
                </a:srgbClr>
              </a:outerShdw>
            </a:effectLst>
          </c:spPr>
        </c:marker>
        <c:dLbl>
          <c:idx val="0"/>
          <c:layout>
            <c:manualLayout>
              <c:x val="-4.926938936421861E-2"/>
              <c:y val="4.6330927384077077E-2"/>
            </c:manualLayout>
          </c:layout>
          <c:numFmt formatCode="#,##0,,\ &quot;JT&quot;" sourceLinked="0"/>
          <c:spPr>
            <a:solidFill>
              <a:srgbClr val="7030A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4"/>
        <c:spPr>
          <a:ln w="34925" cap="rnd">
            <a:solidFill>
              <a:schemeClr val="accent2"/>
            </a:solidFill>
            <a:round/>
          </a:ln>
          <a:effectLst>
            <a:outerShdw blurRad="57150" dist="19050" dir="5400000" algn="ctr" rotWithShape="0">
              <a:srgbClr val="000000">
                <a:alpha val="63000"/>
              </a:srgbClr>
            </a:outerShdw>
          </a:effectLst>
        </c:spPr>
        <c:marker>
          <c:symbol val="circle"/>
          <c:size val="6"/>
          <c:spPr>
            <a:solidFill>
              <a:srgbClr val="7030A0"/>
            </a:solidFill>
            <a:ln w="9525">
              <a:solidFill>
                <a:schemeClr val="accent2"/>
              </a:solidFill>
              <a:round/>
            </a:ln>
            <a:effectLst>
              <a:outerShdw blurRad="57150" dist="19050" dir="5400000" algn="ctr" rotWithShape="0">
                <a:srgbClr val="000000">
                  <a:alpha val="63000"/>
                </a:srgbClr>
              </a:outerShdw>
            </a:effectLst>
          </c:spPr>
        </c:marker>
        <c:dLbl>
          <c:idx val="0"/>
          <c:layout>
            <c:manualLayout>
              <c:x val="-3.5594709131419475E-2"/>
              <c:y val="-0.10876111840186642"/>
            </c:manualLayout>
          </c:layout>
          <c:numFmt formatCode="#,##0,,\ &quot;JT&quot;" sourceLinked="0"/>
          <c:spPr>
            <a:solidFill>
              <a:srgbClr val="7030A0"/>
            </a:solid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7.7173447069116344E-2"/>
                  <c:h val="6.9375182268883062E-2"/>
                </c:manualLayout>
              </c15:layout>
            </c:ext>
          </c:extLst>
        </c:dLbl>
      </c:pivotFmt>
      <c:pivotFmt>
        <c:idx val="15"/>
        <c:spPr>
          <a:ln w="34925" cap="rnd">
            <a:solidFill>
              <a:schemeClr val="accent1"/>
            </a:solidFill>
            <a:round/>
          </a:ln>
          <a:effectLst>
            <a:outerShdw blurRad="57150" dist="19050" dir="5400000" algn="ctr" rotWithShape="0">
              <a:srgbClr val="000000">
                <a:alpha val="63000"/>
              </a:srgbClr>
            </a:outerShdw>
          </a:effectLst>
        </c:spPr>
        <c:marker>
          <c:symbol val="circle"/>
          <c:size val="6"/>
          <c:spPr>
            <a:solidFill>
              <a:srgbClr val="FF0000"/>
            </a:solidFill>
            <a:ln w="9525">
              <a:solidFill>
                <a:schemeClr val="accent1"/>
              </a:solidFill>
              <a:round/>
            </a:ln>
            <a:effectLst>
              <a:outerShdw blurRad="57150" dist="19050" dir="5400000" algn="ctr" rotWithShape="0">
                <a:srgbClr val="000000">
                  <a:alpha val="63000"/>
                </a:srgbClr>
              </a:outerShdw>
            </a:effectLst>
          </c:spPr>
        </c:marker>
        <c:dLbl>
          <c:idx val="0"/>
          <c:layout>
            <c:manualLayout>
              <c:x val="-5.5491033850814202E-4"/>
              <c:y val="6.4849445902595421E-2"/>
            </c:manualLayout>
          </c:layout>
          <c:numFmt formatCode="#,##0,,\ &quot;JT&quot;" sourceLinked="0"/>
          <c:spPr>
            <a:solidFill>
              <a:srgbClr val="FF00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6"/>
        <c:spPr>
          <a:ln w="34925" cap="rnd">
            <a:solidFill>
              <a:schemeClr val="accent2"/>
            </a:solidFill>
            <a:round/>
          </a:ln>
          <a:effectLst>
            <a:outerShdw blurRad="57150" dist="19050" dir="5400000" algn="ctr" rotWithShape="0">
              <a:srgbClr val="000000">
                <a:alpha val="63000"/>
              </a:srgbClr>
            </a:outerShdw>
          </a:effectLst>
        </c:spPr>
        <c:marker>
          <c:symbol val="circle"/>
          <c:size val="6"/>
          <c:spPr>
            <a:solidFill>
              <a:srgbClr val="7030A0"/>
            </a:solidFill>
            <a:ln w="9525">
              <a:solidFill>
                <a:schemeClr val="accent2"/>
              </a:solidFill>
              <a:round/>
            </a:ln>
            <a:effectLst>
              <a:outerShdw blurRad="57150" dist="19050" dir="5400000" algn="ctr" rotWithShape="0">
                <a:srgbClr val="000000">
                  <a:alpha val="63000"/>
                </a:srgbClr>
              </a:outerShdw>
            </a:effectLst>
          </c:spPr>
        </c:marker>
        <c:dLbl>
          <c:idx val="0"/>
          <c:layout>
            <c:manualLayout>
              <c:x val="-0.10805152738857575"/>
              <c:y val="3.4631087780609205E-5"/>
            </c:manualLayout>
          </c:layout>
          <c:numFmt formatCode="#,##0,,\ &quot;JT&quot;" sourceLinked="0"/>
          <c:spPr>
            <a:solidFill>
              <a:srgbClr val="7030A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7"/>
        <c:spPr>
          <a:ln w="34925" cap="rnd">
            <a:solidFill>
              <a:schemeClr val="accent2"/>
            </a:solidFill>
            <a:round/>
          </a:ln>
          <a:effectLst>
            <a:outerShdw blurRad="57150" dist="19050" dir="5400000" algn="ctr" rotWithShape="0">
              <a:srgbClr val="000000">
                <a:alpha val="63000"/>
              </a:srgbClr>
            </a:outerShdw>
          </a:effectLst>
        </c:spPr>
        <c:marker>
          <c:symbol val="circle"/>
          <c:size val="6"/>
          <c:spPr>
            <a:solidFill>
              <a:srgbClr val="7030A0"/>
            </a:solidFill>
            <a:ln w="9525">
              <a:solidFill>
                <a:schemeClr val="accent2"/>
              </a:solidFill>
              <a:round/>
            </a:ln>
            <a:effectLst>
              <a:outerShdw blurRad="57150" dist="19050" dir="5400000" algn="ctr" rotWithShape="0">
                <a:srgbClr val="000000">
                  <a:alpha val="63000"/>
                </a:srgbClr>
              </a:outerShdw>
            </a:effectLst>
          </c:spPr>
        </c:marker>
        <c:dLbl>
          <c:idx val="0"/>
          <c:layout>
            <c:manualLayout>
              <c:x val="1.91473900674459E-2"/>
              <c:y val="9.2938903470399532E-3"/>
            </c:manualLayout>
          </c:layout>
          <c:numFmt formatCode="#,##0,,\ &quot;JT&quot;" sourceLinked="0"/>
          <c:spPr>
            <a:solidFill>
              <a:srgbClr val="7030A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'DATA CASH'!$G$7:$G$8</c:f>
              <c:strCache>
                <c:ptCount val="1"/>
                <c:pt idx="0">
                  <c:v>KAS KELUAR</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solidFill>
                <a:srgbClr val="FF0000"/>
              </a:solidFill>
              <a:ln w="9525">
                <a:solidFill>
                  <a:schemeClr val="accent1"/>
                </a:solidFill>
                <a:round/>
              </a:ln>
              <a:effectLst>
                <a:outerShdw blurRad="57150" dist="19050" dir="5400000" algn="ctr" rotWithShape="0">
                  <a:srgbClr val="000000">
                    <a:alpha val="63000"/>
                  </a:srgbClr>
                </a:outerShdw>
              </a:effectLst>
            </c:spPr>
          </c:marker>
          <c:dPt>
            <c:idx val="1"/>
            <c:marker>
              <c:symbol val="circle"/>
              <c:size val="6"/>
              <c:spPr>
                <a:solidFill>
                  <a:srgbClr val="FF0000"/>
                </a:solidFill>
                <a:ln w="9525">
                  <a:solidFill>
                    <a:schemeClr val="accent1"/>
                  </a:solidFill>
                  <a:round/>
                </a:ln>
                <a:effectLst>
                  <a:outerShdw blurRad="57150" dist="19050" dir="5400000" algn="ctr" rotWithShape="0">
                    <a:srgbClr val="000000">
                      <a:alpha val="63000"/>
                    </a:srgbClr>
                  </a:outerShdw>
                </a:effectLst>
              </c:spPr>
            </c:marker>
            <c:bubble3D val="0"/>
            <c:spPr>
              <a:ln w="34925" cap="rnd">
                <a:solidFill>
                  <a:schemeClr val="accent1"/>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2-8C11-46F2-9E28-1B6EBE20586B}"/>
              </c:ext>
            </c:extLst>
          </c:dPt>
          <c:dPt>
            <c:idx val="2"/>
            <c:marker>
              <c:symbol val="circle"/>
              <c:size val="6"/>
              <c:spPr>
                <a:solidFill>
                  <a:srgbClr val="FF0000"/>
                </a:solidFill>
                <a:ln w="9525">
                  <a:solidFill>
                    <a:schemeClr val="accent1"/>
                  </a:solidFill>
                  <a:round/>
                </a:ln>
                <a:effectLst>
                  <a:outerShdw blurRad="57150" dist="19050" dir="5400000" algn="ctr" rotWithShape="0">
                    <a:srgbClr val="000000">
                      <a:alpha val="63000"/>
                    </a:srgbClr>
                  </a:outerShdw>
                </a:effectLst>
              </c:spPr>
            </c:marker>
            <c:bubble3D val="0"/>
            <c:spPr>
              <a:ln w="34925" cap="rnd">
                <a:solidFill>
                  <a:schemeClr val="accent1"/>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6-8C11-46F2-9E28-1B6EBE20586B}"/>
              </c:ext>
            </c:extLst>
          </c:dPt>
          <c:dLbls>
            <c:dLbl>
              <c:idx val="1"/>
              <c:layout>
                <c:manualLayout>
                  <c:x val="-5.5491033850809247E-4"/>
                  <c:y val="4.63309273840768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8C11-46F2-9E28-1B6EBE20586B}"/>
                </c:ext>
              </c:extLst>
            </c:dLbl>
            <c:dLbl>
              <c:idx val="2"/>
              <c:layout>
                <c:manualLayout>
                  <c:x val="-5.5491033850814202E-4"/>
                  <c:y val="6.484944590259542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6-8C11-46F2-9E28-1B6EBE20586B}"/>
                </c:ext>
              </c:extLst>
            </c:dLbl>
            <c:numFmt formatCode="#,##0,,\ &quot;JT&quot;" sourceLinked="0"/>
            <c:spPr>
              <a:solidFill>
                <a:srgbClr val="FF00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'DATA CASH'!$F$9:$F$17</c:f>
              <c:strCache>
                <c:ptCount val="8"/>
                <c:pt idx="0">
                  <c:v>Jan</c:v>
                </c:pt>
                <c:pt idx="1">
                  <c:v>Feb</c:v>
                </c:pt>
                <c:pt idx="2">
                  <c:v>Mar</c:v>
                </c:pt>
                <c:pt idx="3">
                  <c:v>Apr</c:v>
                </c:pt>
                <c:pt idx="4">
                  <c:v>May</c:v>
                </c:pt>
                <c:pt idx="5">
                  <c:v>Jun</c:v>
                </c:pt>
                <c:pt idx="6">
                  <c:v>Jul</c:v>
                </c:pt>
                <c:pt idx="7">
                  <c:v>Aug</c:v>
                </c:pt>
              </c:strCache>
            </c:strRef>
          </c:cat>
          <c:val>
            <c:numRef>
              <c:f>'DATA CASH'!$G$9:$G$17</c:f>
              <c:numCache>
                <c:formatCode>#,##0</c:formatCode>
                <c:ptCount val="8"/>
                <c:pt idx="0">
                  <c:v>44779850</c:v>
                </c:pt>
                <c:pt idx="1">
                  <c:v>10623850</c:v>
                </c:pt>
                <c:pt idx="2">
                  <c:v>84743829</c:v>
                </c:pt>
                <c:pt idx="3">
                  <c:v>110371600</c:v>
                </c:pt>
                <c:pt idx="4">
                  <c:v>100816350</c:v>
                </c:pt>
                <c:pt idx="5">
                  <c:v>20065314</c:v>
                </c:pt>
                <c:pt idx="6">
                  <c:v>1464850</c:v>
                </c:pt>
                <c:pt idx="7">
                  <c:v>4964850</c:v>
                </c:pt>
              </c:numCache>
            </c:numRef>
          </c:val>
          <c:smooth val="0"/>
          <c:extLst>
            <c:ext xmlns:c16="http://schemas.microsoft.com/office/drawing/2014/chart" uri="{C3380CC4-5D6E-409C-BE32-E72D297353CC}">
              <c16:uniqueId val="{00000000-8C11-46F2-9E28-1B6EBE20586B}"/>
            </c:ext>
          </c:extLst>
        </c:ser>
        <c:ser>
          <c:idx val="1"/>
          <c:order val="1"/>
          <c:tx>
            <c:strRef>
              <c:f>'DATA CASH'!$H$7:$H$8</c:f>
              <c:strCache>
                <c:ptCount val="1"/>
                <c:pt idx="0">
                  <c:v>KAS MASUK</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solidFill>
                <a:srgbClr val="7030A0"/>
              </a:solidFill>
              <a:ln w="9525">
                <a:solidFill>
                  <a:schemeClr val="accent2"/>
                </a:solidFill>
                <a:round/>
              </a:ln>
              <a:effectLst>
                <a:outerShdw blurRad="57150" dist="19050" dir="5400000" algn="ctr" rotWithShape="0">
                  <a:srgbClr val="000000">
                    <a:alpha val="63000"/>
                  </a:srgbClr>
                </a:outerShdw>
              </a:effectLst>
            </c:spPr>
          </c:marker>
          <c:dPt>
            <c:idx val="0"/>
            <c:marker>
              <c:symbol val="circle"/>
              <c:size val="6"/>
              <c:spPr>
                <a:solidFill>
                  <a:srgbClr val="7030A0"/>
                </a:solidFill>
                <a:ln w="9525">
                  <a:solidFill>
                    <a:schemeClr val="accent2"/>
                  </a:solidFill>
                  <a:round/>
                </a:ln>
                <a:effectLst>
                  <a:outerShdw blurRad="57150" dist="19050" dir="5400000" algn="ctr" rotWithShape="0">
                    <a:srgbClr val="000000">
                      <a:alpha val="63000"/>
                    </a:srgbClr>
                  </a:outerShdw>
                </a:effectLst>
              </c:spPr>
            </c:marker>
            <c:bubble3D val="0"/>
            <c:spPr>
              <a:ln w="34925" cap="rnd">
                <a:solidFill>
                  <a:schemeClr val="accent2"/>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8C11-46F2-9E28-1B6EBE20586B}"/>
              </c:ext>
            </c:extLst>
          </c:dPt>
          <c:dPt>
            <c:idx val="2"/>
            <c:marker>
              <c:symbol val="circle"/>
              <c:size val="6"/>
              <c:spPr>
                <a:solidFill>
                  <a:srgbClr val="7030A0"/>
                </a:solidFill>
                <a:ln w="9525">
                  <a:solidFill>
                    <a:schemeClr val="accent2"/>
                  </a:solidFill>
                  <a:round/>
                </a:ln>
                <a:effectLst>
                  <a:outerShdw blurRad="57150" dist="19050" dir="5400000" algn="ctr" rotWithShape="0">
                    <a:srgbClr val="000000">
                      <a:alpha val="63000"/>
                    </a:srgbClr>
                  </a:outerShdw>
                </a:effectLst>
              </c:spPr>
            </c:marker>
            <c:bubble3D val="0"/>
            <c:spPr>
              <a:ln w="34925" cap="rnd">
                <a:solidFill>
                  <a:schemeClr val="accent2"/>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8C11-46F2-9E28-1B6EBE20586B}"/>
              </c:ext>
            </c:extLst>
          </c:dPt>
          <c:dPt>
            <c:idx val="4"/>
            <c:marker>
              <c:symbol val="circle"/>
              <c:size val="6"/>
              <c:spPr>
                <a:solidFill>
                  <a:srgbClr val="7030A0"/>
                </a:solidFill>
                <a:ln w="9525">
                  <a:solidFill>
                    <a:schemeClr val="accent2"/>
                  </a:solidFill>
                  <a:round/>
                </a:ln>
                <a:effectLst>
                  <a:outerShdw blurRad="57150" dist="19050" dir="5400000" algn="ctr" rotWithShape="0">
                    <a:srgbClr val="000000">
                      <a:alpha val="63000"/>
                    </a:srgbClr>
                  </a:outerShdw>
                </a:effectLst>
              </c:spPr>
            </c:marker>
            <c:bubble3D val="0"/>
            <c:spPr>
              <a:ln w="34925" cap="rnd">
                <a:solidFill>
                  <a:schemeClr val="accent2"/>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4-8C11-46F2-9E28-1B6EBE20586B}"/>
              </c:ext>
            </c:extLst>
          </c:dPt>
          <c:dPt>
            <c:idx val="6"/>
            <c:marker>
              <c:symbol val="circle"/>
              <c:size val="6"/>
              <c:spPr>
                <a:solidFill>
                  <a:srgbClr val="7030A0"/>
                </a:solidFill>
                <a:ln w="9525">
                  <a:solidFill>
                    <a:schemeClr val="accent2"/>
                  </a:solidFill>
                  <a:round/>
                </a:ln>
                <a:effectLst>
                  <a:outerShdw blurRad="57150" dist="19050" dir="5400000" algn="ctr" rotWithShape="0">
                    <a:srgbClr val="000000">
                      <a:alpha val="63000"/>
                    </a:srgbClr>
                  </a:outerShdw>
                </a:effectLst>
              </c:spPr>
            </c:marker>
            <c:bubble3D val="0"/>
            <c:spPr>
              <a:ln w="34925" cap="rnd">
                <a:solidFill>
                  <a:schemeClr val="accent2"/>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0-0A09-474E-AB42-5E5FF6B4A164}"/>
              </c:ext>
            </c:extLst>
          </c:dPt>
          <c:dPt>
            <c:idx val="7"/>
            <c:marker>
              <c:symbol val="circle"/>
              <c:size val="6"/>
              <c:spPr>
                <a:solidFill>
                  <a:srgbClr val="7030A0"/>
                </a:solidFill>
                <a:ln w="9525">
                  <a:solidFill>
                    <a:schemeClr val="accent2"/>
                  </a:solidFill>
                  <a:round/>
                </a:ln>
                <a:effectLst>
                  <a:outerShdw blurRad="57150" dist="19050" dir="5400000" algn="ctr" rotWithShape="0">
                    <a:srgbClr val="000000">
                      <a:alpha val="63000"/>
                    </a:srgbClr>
                  </a:outerShdw>
                </a:effectLst>
              </c:spPr>
            </c:marker>
            <c:bubble3D val="0"/>
            <c:spPr>
              <a:ln w="34925" cap="rnd">
                <a:solidFill>
                  <a:schemeClr val="accent2"/>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0A09-474E-AB42-5E5FF6B4A164}"/>
              </c:ext>
            </c:extLst>
          </c:dPt>
          <c:dLbls>
            <c:dLbl>
              <c:idx val="0"/>
              <c:layout>
                <c:manualLayout>
                  <c:x val="-5.7388469201836913E-2"/>
                  <c:y val="3.707166812481772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8C11-46F2-9E28-1B6EBE20586B}"/>
                </c:ext>
              </c:extLst>
            </c:dLbl>
            <c:dLbl>
              <c:idx val="2"/>
              <c:layout>
                <c:manualLayout>
                  <c:x val="-3.5594709131419475E-2"/>
                  <c:y val="-0.10876111840186642"/>
                </c:manualLayout>
              </c:layout>
              <c:numFmt formatCode="#,##0,,\ &quot;JT&quot;" sourceLinked="0"/>
              <c:spPr>
                <a:solidFill>
                  <a:srgbClr val="7030A0"/>
                </a:solid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7.7173447069116344E-2"/>
                      <c:h val="6.9375182268883062E-2"/>
                    </c:manualLayout>
                  </c15:layout>
                </c:ext>
                <c:ext xmlns:c16="http://schemas.microsoft.com/office/drawing/2014/chart" uri="{C3380CC4-5D6E-409C-BE32-E72D297353CC}">
                  <c16:uniqueId val="{00000015-8C11-46F2-9E28-1B6EBE20586B}"/>
                </c:ext>
              </c:extLst>
            </c:dLbl>
            <c:dLbl>
              <c:idx val="4"/>
              <c:layout>
                <c:manualLayout>
                  <c:x val="-4.926938936421861E-2"/>
                  <c:y val="4.633092738407707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8C11-46F2-9E28-1B6EBE20586B}"/>
                </c:ext>
              </c:extLst>
            </c:dLbl>
            <c:dLbl>
              <c:idx val="6"/>
              <c:layout>
                <c:manualLayout>
                  <c:x val="-0.10805152738857575"/>
                  <c:y val="3.4631087780609205E-5"/>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A09-474E-AB42-5E5FF6B4A164}"/>
                </c:ext>
              </c:extLst>
            </c:dLbl>
            <c:dLbl>
              <c:idx val="7"/>
              <c:layout>
                <c:manualLayout>
                  <c:x val="1.91473900674459E-2"/>
                  <c:y val="9.2938903470399532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A09-474E-AB42-5E5FF6B4A164}"/>
                </c:ext>
              </c:extLst>
            </c:dLbl>
            <c:numFmt formatCode="#,##0,,\ &quot;JT&quot;" sourceLinked="0"/>
            <c:spPr>
              <a:solidFill>
                <a:srgbClr val="7030A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'DATA CASH'!$F$9:$F$17</c:f>
              <c:strCache>
                <c:ptCount val="8"/>
                <c:pt idx="0">
                  <c:v>Jan</c:v>
                </c:pt>
                <c:pt idx="1">
                  <c:v>Feb</c:v>
                </c:pt>
                <c:pt idx="2">
                  <c:v>Mar</c:v>
                </c:pt>
                <c:pt idx="3">
                  <c:v>Apr</c:v>
                </c:pt>
                <c:pt idx="4">
                  <c:v>May</c:v>
                </c:pt>
                <c:pt idx="5">
                  <c:v>Jun</c:v>
                </c:pt>
                <c:pt idx="6">
                  <c:v>Jul</c:v>
                </c:pt>
                <c:pt idx="7">
                  <c:v>Aug</c:v>
                </c:pt>
              </c:strCache>
            </c:strRef>
          </c:cat>
          <c:val>
            <c:numRef>
              <c:f>'DATA CASH'!$H$9:$H$17</c:f>
              <c:numCache>
                <c:formatCode>#,##0</c:formatCode>
                <c:ptCount val="8"/>
                <c:pt idx="0">
                  <c:v>47500000</c:v>
                </c:pt>
                <c:pt idx="1">
                  <c:v>16000000</c:v>
                </c:pt>
                <c:pt idx="2">
                  <c:v>86000000</c:v>
                </c:pt>
                <c:pt idx="3">
                  <c:v>133072650.5</c:v>
                </c:pt>
                <c:pt idx="4">
                  <c:v>91144488.100000009</c:v>
                </c:pt>
                <c:pt idx="6">
                  <c:v>1500000</c:v>
                </c:pt>
                <c:pt idx="7">
                  <c:v>4919261</c:v>
                </c:pt>
              </c:numCache>
            </c:numRef>
          </c:val>
          <c:smooth val="0"/>
          <c:extLst>
            <c:ext xmlns:c16="http://schemas.microsoft.com/office/drawing/2014/chart" uri="{C3380CC4-5D6E-409C-BE32-E72D297353CC}">
              <c16:uniqueId val="{00000011-8C11-46F2-9E28-1B6EBE20586B}"/>
            </c:ext>
          </c:extLst>
        </c:ser>
        <c:dLbls>
          <c:dLblPos val="t"/>
          <c:showLegendKey val="0"/>
          <c:showVal val="1"/>
          <c:showCatName val="0"/>
          <c:showSerName val="0"/>
          <c:showPercent val="0"/>
          <c:showBubbleSize val="0"/>
        </c:dLbls>
        <c:marker val="1"/>
        <c:smooth val="0"/>
        <c:axId val="850332639"/>
        <c:axId val="850330239"/>
      </c:lineChart>
      <c:catAx>
        <c:axId val="850332639"/>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50330239"/>
        <c:crosses val="autoZero"/>
        <c:auto val="1"/>
        <c:lblAlgn val="ctr"/>
        <c:lblOffset val="100"/>
        <c:noMultiLvlLbl val="0"/>
      </c:catAx>
      <c:valAx>
        <c:axId val="850330239"/>
        <c:scaling>
          <c:orientation val="minMax"/>
        </c:scaling>
        <c:delete val="0"/>
        <c:axPos val="l"/>
        <c:majorGridlines>
          <c:spPr>
            <a:ln w="9525" cap="flat" cmpd="sng" algn="ctr">
              <a:solidFill>
                <a:schemeClr val="lt1">
                  <a:lumMod val="95000"/>
                  <a:alpha val="10000"/>
                </a:schemeClr>
              </a:solidFill>
              <a:round/>
            </a:ln>
            <a:effectLst/>
          </c:spPr>
        </c:majorGridlines>
        <c:numFmt formatCode="#,##0,,\ &quot;JT&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503326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PEKERJAAN PROJECT SULSEL PERIODE 2026.xlsx]DATA CASH!PivotTable3</c:name>
    <c:fmtId val="4"/>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solidFill>
              <a:srgbClr val="FF0000"/>
            </a:solidFill>
            <a:ln w="9525">
              <a:solidFill>
                <a:schemeClr val="accent1"/>
              </a:solidFill>
              <a:round/>
            </a:ln>
            <a:effectLst>
              <a:outerShdw blurRad="57150" dist="19050" dir="5400000" algn="ctr" rotWithShape="0">
                <a:srgbClr val="000000">
                  <a:alpha val="63000"/>
                </a:srgbClr>
              </a:outerShdw>
            </a:effectLst>
          </c:spPr>
        </c:marker>
        <c:dLbl>
          <c:idx val="0"/>
          <c:numFmt formatCode="#,##0,,\ &quot;JT&quot;" sourceLinked="0"/>
          <c:spPr>
            <a:solidFill>
              <a:srgbClr val="FF00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solidFill>
              <a:srgbClr val="7030A0"/>
            </a:solidFill>
            <a:ln w="9525">
              <a:solidFill>
                <a:schemeClr val="accent2"/>
              </a:solidFill>
              <a:round/>
            </a:ln>
            <a:effectLst>
              <a:outerShdw blurRad="57150" dist="19050" dir="5400000" algn="ctr" rotWithShape="0">
                <a:srgbClr val="000000">
                  <a:alpha val="63000"/>
                </a:srgbClr>
              </a:outerShdw>
            </a:effectLst>
          </c:spPr>
        </c:marker>
        <c:dLbl>
          <c:idx val="0"/>
          <c:numFmt formatCode="#,##0,,\ &quot;JT&quot;" sourceLinked="0"/>
          <c:spPr>
            <a:solidFill>
              <a:srgbClr val="7030A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solidFill>
              <a:srgbClr val="FF0000"/>
            </a:solidFill>
            <a:ln w="9525">
              <a:solidFill>
                <a:schemeClr val="accent1"/>
              </a:solidFill>
              <a:round/>
            </a:ln>
            <a:effectLst>
              <a:outerShdw blurRad="57150" dist="19050" dir="5400000" algn="ctr" rotWithShape="0">
                <a:srgbClr val="000000">
                  <a:alpha val="63000"/>
                </a:srgbClr>
              </a:outerShdw>
            </a:effectLst>
          </c:spPr>
        </c:marker>
        <c:dLbl>
          <c:idx val="0"/>
          <c:layout>
            <c:manualLayout>
              <c:x val="-5.5491033850809247E-4"/>
              <c:y val="4.633092738407682E-2"/>
            </c:manualLayout>
          </c:layout>
          <c:numFmt formatCode="#,##0,,\ &quot;JT&quot;" sourceLinked="0"/>
          <c:spPr>
            <a:solidFill>
              <a:srgbClr val="FF00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solidFill>
              <a:srgbClr val="7030A0"/>
            </a:solidFill>
            <a:ln w="9525">
              <a:solidFill>
                <a:schemeClr val="accent2"/>
              </a:solidFill>
              <a:round/>
            </a:ln>
            <a:effectLst>
              <a:outerShdw blurRad="57150" dist="19050" dir="5400000" algn="ctr" rotWithShape="0">
                <a:srgbClr val="000000">
                  <a:alpha val="63000"/>
                </a:srgbClr>
              </a:outerShdw>
            </a:effectLst>
          </c:spPr>
        </c:marker>
        <c:dLbl>
          <c:idx val="0"/>
          <c:layout>
            <c:manualLayout>
              <c:x val="-5.7388469201836913E-2"/>
              <c:y val="3.7071668124817728E-2"/>
            </c:manualLayout>
          </c:layout>
          <c:numFmt formatCode="#,##0,,\ &quot;JT&quot;" sourceLinked="0"/>
          <c:spPr>
            <a:solidFill>
              <a:srgbClr val="7030A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solidFill>
              <a:srgbClr val="7030A0"/>
            </a:solidFill>
            <a:ln w="9525">
              <a:solidFill>
                <a:schemeClr val="accent2"/>
              </a:solidFill>
              <a:round/>
            </a:ln>
            <a:effectLst>
              <a:outerShdw blurRad="57150" dist="19050" dir="5400000" algn="ctr" rotWithShape="0">
                <a:srgbClr val="000000">
                  <a:alpha val="63000"/>
                </a:srgbClr>
              </a:outerShdw>
            </a:effectLst>
          </c:spPr>
        </c:marker>
        <c:dLbl>
          <c:idx val="0"/>
          <c:layout>
            <c:manualLayout>
              <c:x val="-4.926938936421861E-2"/>
              <c:y val="4.6330927384077077E-2"/>
            </c:manualLayout>
          </c:layout>
          <c:numFmt formatCode="#,##0,,\ &quot;JT&quot;" sourceLinked="0"/>
          <c:spPr>
            <a:solidFill>
              <a:srgbClr val="7030A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solidFill>
              <a:srgbClr val="7030A0"/>
            </a:solidFill>
            <a:ln w="9525">
              <a:solidFill>
                <a:schemeClr val="accent2"/>
              </a:solidFill>
              <a:round/>
            </a:ln>
            <a:effectLst>
              <a:outerShdw blurRad="57150" dist="19050" dir="5400000" algn="ctr" rotWithShape="0">
                <a:srgbClr val="000000">
                  <a:alpha val="63000"/>
                </a:srgbClr>
              </a:outerShdw>
            </a:effectLst>
          </c:spPr>
        </c:marker>
        <c:dLbl>
          <c:idx val="0"/>
          <c:layout>
            <c:manualLayout>
              <c:x val="-4.1150309526600107E-2"/>
              <c:y val="-0.10876111840186642"/>
            </c:manualLayout>
          </c:layout>
          <c:numFmt formatCode="#,##0,,\ &quot;JT&quot;" sourceLinked="0"/>
          <c:spPr>
            <a:solidFill>
              <a:srgbClr val="7030A0"/>
            </a:solid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6.606224627875508E-2"/>
                  <c:h val="6.9375182268883062E-2"/>
                </c:manualLayout>
              </c15:layout>
            </c:ext>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solidFill>
              <a:srgbClr val="FF0000"/>
            </a:solidFill>
            <a:ln w="9525">
              <a:solidFill>
                <a:schemeClr val="accent1"/>
              </a:solidFill>
              <a:round/>
            </a:ln>
            <a:effectLst>
              <a:outerShdw blurRad="57150" dist="19050" dir="5400000" algn="ctr" rotWithShape="0">
                <a:srgbClr val="000000">
                  <a:alpha val="63000"/>
                </a:srgbClr>
              </a:outerShdw>
            </a:effectLst>
          </c:spPr>
        </c:marker>
        <c:dLbl>
          <c:idx val="0"/>
          <c:layout>
            <c:manualLayout>
              <c:x val="-5.5491033850814202E-4"/>
              <c:y val="6.4849445902595421E-2"/>
            </c:manualLayout>
          </c:layout>
          <c:numFmt formatCode="#,##0,,\ &quot;JT&quot;" sourceLinked="0"/>
          <c:spPr>
            <a:solidFill>
              <a:srgbClr val="FF00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solidFill>
              <a:srgbClr val="7030A0"/>
            </a:solidFill>
            <a:ln w="9525">
              <a:solidFill>
                <a:schemeClr val="accent2"/>
              </a:solidFill>
              <a:round/>
            </a:ln>
            <a:effectLst>
              <a:outerShdw blurRad="57150" dist="19050" dir="5400000" algn="ctr" rotWithShape="0">
                <a:srgbClr val="000000">
                  <a:alpha val="63000"/>
                </a:srgbClr>
              </a:outerShdw>
            </a:effectLst>
          </c:spPr>
        </c:marker>
        <c:dLbl>
          <c:idx val="0"/>
          <c:layout>
            <c:manualLayout>
              <c:x val="-0.10805152738857575"/>
              <c:y val="3.4631087780609205E-5"/>
            </c:manualLayout>
          </c:layout>
          <c:numFmt formatCode="#,##0,,\ &quot;JT&quot;" sourceLinked="0"/>
          <c:spPr>
            <a:solidFill>
              <a:srgbClr val="7030A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solidFill>
              <a:srgbClr val="7030A0"/>
            </a:solidFill>
            <a:ln w="9525">
              <a:solidFill>
                <a:schemeClr val="accent2"/>
              </a:solidFill>
              <a:round/>
            </a:ln>
            <a:effectLst>
              <a:outerShdw blurRad="57150" dist="19050" dir="5400000" algn="ctr" rotWithShape="0">
                <a:srgbClr val="000000">
                  <a:alpha val="63000"/>
                </a:srgbClr>
              </a:outerShdw>
            </a:effectLst>
          </c:spPr>
        </c:marker>
        <c:dLbl>
          <c:idx val="0"/>
          <c:layout>
            <c:manualLayout>
              <c:x val="1.91473900674459E-2"/>
              <c:y val="9.2938903470399532E-3"/>
            </c:manualLayout>
          </c:layout>
          <c:numFmt formatCode="#,##0,,\ &quot;JT&quot;" sourceLinked="0"/>
          <c:spPr>
            <a:solidFill>
              <a:srgbClr val="7030A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solidFill>
              <a:srgbClr val="FF0000"/>
            </a:solidFill>
            <a:ln w="9525">
              <a:solidFill>
                <a:schemeClr val="accent1"/>
              </a:solidFill>
              <a:round/>
            </a:ln>
            <a:effectLst>
              <a:outerShdw blurRad="57150" dist="19050" dir="5400000" algn="ctr" rotWithShape="0">
                <a:srgbClr val="000000">
                  <a:alpha val="63000"/>
                </a:srgbClr>
              </a:outerShdw>
            </a:effectLst>
          </c:spPr>
        </c:marker>
        <c:dLbl>
          <c:idx val="0"/>
          <c:numFmt formatCode="#,##0,,\ &quot;JT&quot;" sourceLinked="0"/>
          <c:spPr>
            <a:solidFill>
              <a:srgbClr val="FF00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solidFill>
              <a:srgbClr val="FF0000"/>
            </a:solidFill>
            <a:ln w="9525">
              <a:solidFill>
                <a:schemeClr val="accent1"/>
              </a:solidFill>
              <a:round/>
            </a:ln>
            <a:effectLst>
              <a:outerShdw blurRad="57150" dist="19050" dir="5400000" algn="ctr" rotWithShape="0">
                <a:srgbClr val="000000">
                  <a:alpha val="63000"/>
                </a:srgbClr>
              </a:outerShdw>
            </a:effectLst>
          </c:spPr>
        </c:marker>
        <c:dLbl>
          <c:idx val="0"/>
          <c:layout>
            <c:manualLayout>
              <c:x val="-5.5491033850809247E-4"/>
              <c:y val="4.633092738407682E-2"/>
            </c:manualLayout>
          </c:layout>
          <c:numFmt formatCode="#,##0,,\ &quot;JT&quot;" sourceLinked="0"/>
          <c:spPr>
            <a:solidFill>
              <a:srgbClr val="FF00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solidFill>
              <a:srgbClr val="FF0000"/>
            </a:solidFill>
            <a:ln w="9525">
              <a:solidFill>
                <a:schemeClr val="accent1"/>
              </a:solidFill>
              <a:round/>
            </a:ln>
            <a:effectLst>
              <a:outerShdw blurRad="57150" dist="19050" dir="5400000" algn="ctr" rotWithShape="0">
                <a:srgbClr val="000000">
                  <a:alpha val="63000"/>
                </a:srgbClr>
              </a:outerShdw>
            </a:effectLst>
          </c:spPr>
        </c:marker>
        <c:dLbl>
          <c:idx val="0"/>
          <c:layout>
            <c:manualLayout>
              <c:x val="-5.5491033850814202E-4"/>
              <c:y val="6.4849445902595421E-2"/>
            </c:manualLayout>
          </c:layout>
          <c:numFmt formatCode="#,##0,,\ &quot;JT&quot;" sourceLinked="0"/>
          <c:spPr>
            <a:solidFill>
              <a:srgbClr val="FF00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solidFill>
              <a:srgbClr val="7030A0"/>
            </a:solidFill>
            <a:ln w="9525">
              <a:solidFill>
                <a:schemeClr val="accent2"/>
              </a:solidFill>
              <a:round/>
            </a:ln>
            <a:effectLst>
              <a:outerShdw blurRad="57150" dist="19050" dir="5400000" algn="ctr" rotWithShape="0">
                <a:srgbClr val="000000">
                  <a:alpha val="63000"/>
                </a:srgbClr>
              </a:outerShdw>
            </a:effectLst>
          </c:spPr>
        </c:marker>
        <c:dLbl>
          <c:idx val="0"/>
          <c:numFmt formatCode="#,##0,,\ &quot;JT&quot;" sourceLinked="0"/>
          <c:spPr>
            <a:solidFill>
              <a:srgbClr val="7030A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solidFill>
              <a:srgbClr val="7030A0"/>
            </a:solidFill>
            <a:ln w="9525">
              <a:solidFill>
                <a:schemeClr val="accent2"/>
              </a:solidFill>
              <a:round/>
            </a:ln>
            <a:effectLst>
              <a:outerShdw blurRad="57150" dist="19050" dir="5400000" algn="ctr" rotWithShape="0">
                <a:srgbClr val="000000">
                  <a:alpha val="63000"/>
                </a:srgbClr>
              </a:outerShdw>
            </a:effectLst>
          </c:spPr>
        </c:marker>
        <c:dLbl>
          <c:idx val="0"/>
          <c:layout>
            <c:manualLayout>
              <c:x val="-5.7388469201836913E-2"/>
              <c:y val="3.7071668124817728E-2"/>
            </c:manualLayout>
          </c:layout>
          <c:numFmt formatCode="#,##0,,\ &quot;JT&quot;" sourceLinked="0"/>
          <c:spPr>
            <a:solidFill>
              <a:srgbClr val="7030A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solidFill>
              <a:srgbClr val="7030A0"/>
            </a:solidFill>
            <a:ln w="9525">
              <a:solidFill>
                <a:schemeClr val="accent2"/>
              </a:solidFill>
              <a:round/>
            </a:ln>
            <a:effectLst>
              <a:outerShdw blurRad="57150" dist="19050" dir="5400000" algn="ctr" rotWithShape="0">
                <a:srgbClr val="000000">
                  <a:alpha val="63000"/>
                </a:srgbClr>
              </a:outerShdw>
            </a:effectLst>
          </c:spPr>
        </c:marker>
        <c:dLbl>
          <c:idx val="0"/>
          <c:layout>
            <c:manualLayout>
              <c:x val="-4.1150309526600107E-2"/>
              <c:y val="-0.10876111840186642"/>
            </c:manualLayout>
          </c:layout>
          <c:numFmt formatCode="#,##0,,\ &quot;JT&quot;" sourceLinked="0"/>
          <c:spPr>
            <a:solidFill>
              <a:srgbClr val="7030A0"/>
            </a:solid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6.606224627875508E-2"/>
                  <c:h val="6.9375182268883062E-2"/>
                </c:manualLayout>
              </c15:layout>
            </c:ext>
          </c:extLst>
        </c:dLbl>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solidFill>
              <a:srgbClr val="7030A0"/>
            </a:solidFill>
            <a:ln w="9525">
              <a:solidFill>
                <a:schemeClr val="accent2"/>
              </a:solidFill>
              <a:round/>
            </a:ln>
            <a:effectLst>
              <a:outerShdw blurRad="57150" dist="19050" dir="5400000" algn="ctr" rotWithShape="0">
                <a:srgbClr val="000000">
                  <a:alpha val="63000"/>
                </a:srgbClr>
              </a:outerShdw>
            </a:effectLst>
          </c:spPr>
        </c:marker>
        <c:dLbl>
          <c:idx val="0"/>
          <c:layout>
            <c:manualLayout>
              <c:x val="-4.926938936421861E-2"/>
              <c:y val="4.6330927384077077E-2"/>
            </c:manualLayout>
          </c:layout>
          <c:numFmt formatCode="#,##0,,\ &quot;JT&quot;" sourceLinked="0"/>
          <c:spPr>
            <a:solidFill>
              <a:srgbClr val="7030A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solidFill>
              <a:srgbClr val="7030A0"/>
            </a:solidFill>
            <a:ln w="9525">
              <a:solidFill>
                <a:schemeClr val="accent2"/>
              </a:solidFill>
              <a:round/>
            </a:ln>
            <a:effectLst>
              <a:outerShdw blurRad="57150" dist="19050" dir="5400000" algn="ctr" rotWithShape="0">
                <a:srgbClr val="000000">
                  <a:alpha val="63000"/>
                </a:srgbClr>
              </a:outerShdw>
            </a:effectLst>
          </c:spPr>
        </c:marker>
        <c:dLbl>
          <c:idx val="0"/>
          <c:layout>
            <c:manualLayout>
              <c:x val="-0.10805152738857575"/>
              <c:y val="3.4631087780609205E-5"/>
            </c:manualLayout>
          </c:layout>
          <c:numFmt formatCode="#,##0,,\ &quot;JT&quot;" sourceLinked="0"/>
          <c:spPr>
            <a:solidFill>
              <a:srgbClr val="7030A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solidFill>
              <a:srgbClr val="7030A0"/>
            </a:solidFill>
            <a:ln w="9525">
              <a:solidFill>
                <a:schemeClr val="accent2"/>
              </a:solidFill>
              <a:round/>
            </a:ln>
            <a:effectLst>
              <a:outerShdw blurRad="57150" dist="19050" dir="5400000" algn="ctr" rotWithShape="0">
                <a:srgbClr val="000000">
                  <a:alpha val="63000"/>
                </a:srgbClr>
              </a:outerShdw>
            </a:effectLst>
          </c:spPr>
        </c:marker>
        <c:dLbl>
          <c:idx val="0"/>
          <c:layout>
            <c:manualLayout>
              <c:x val="1.91473900674459E-2"/>
              <c:y val="9.2938903470399532E-3"/>
            </c:manualLayout>
          </c:layout>
          <c:numFmt formatCode="#,##0,,\ &quot;JT&quot;" sourceLinked="0"/>
          <c:spPr>
            <a:solidFill>
              <a:srgbClr val="7030A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numFmt formatCode="#,##0,,\ &quot;JT&quot;" sourceLinked="0"/>
          <c:spPr>
            <a:solidFill>
              <a:srgbClr val="FF00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dLbl>
          <c:idx val="0"/>
          <c:layout>
            <c:manualLayout>
              <c:x val="-5.5491033850809247E-4"/>
              <c:y val="4.633092738407682E-2"/>
            </c:manualLayout>
          </c:layout>
          <c:numFmt formatCode="#,##0,,\ &quot;JT&quot;" sourceLinked="0"/>
          <c:spPr>
            <a:solidFill>
              <a:srgbClr val="FF00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dLbl>
          <c:idx val="0"/>
          <c:layout>
            <c:manualLayout>
              <c:x val="-5.5491033850814202E-4"/>
              <c:y val="6.4849445902595421E-2"/>
            </c:manualLayout>
          </c:layout>
          <c:numFmt formatCode="#,##0,,\ &quot;JT&quot;" sourceLinked="0"/>
          <c:spPr>
            <a:solidFill>
              <a:srgbClr val="FF00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numFmt formatCode="#,##0,,\ &quot;JT&quot;" sourceLinked="0"/>
          <c:spPr>
            <a:solidFill>
              <a:srgbClr val="7030A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none"/>
        </c:marker>
        <c:dLbl>
          <c:idx val="0"/>
          <c:layout>
            <c:manualLayout>
              <c:x val="5.0865928633075125E-2"/>
              <c:y val="-9.2246281714785643E-3"/>
            </c:manualLayout>
          </c:layout>
          <c:numFmt formatCode="#,##0,,\ &quot;JT&quot;" sourceLinked="0"/>
          <c:spPr>
            <a:solidFill>
              <a:srgbClr val="7030A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none"/>
        </c:marker>
        <c:dLbl>
          <c:idx val="0"/>
          <c:layout>
            <c:manualLayout>
              <c:x val="-6.1818230518884843E-3"/>
              <c:y val="-4.8575750947798195E-2"/>
            </c:manualLayout>
          </c:layout>
          <c:numFmt formatCode="#,##0,,\ &quot;JT&quot;" sourceLinked="0"/>
          <c:spPr>
            <a:solidFill>
              <a:srgbClr val="7030A0"/>
            </a:solid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7.7173447069116344E-2"/>
                  <c:h val="6.9375182268883062E-2"/>
                </c:manualLayout>
              </c15:layout>
            </c:ext>
          </c:extLst>
        </c:dLbl>
      </c:pivotFmt>
      <c:pivotFmt>
        <c:idx val="3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none"/>
        </c:marker>
        <c:dLbl>
          <c:idx val="0"/>
          <c:layout>
            <c:manualLayout>
              <c:x val="-4.926938936421861E-2"/>
              <c:y val="4.6330927384077077E-2"/>
            </c:manualLayout>
          </c:layout>
          <c:numFmt formatCode="#,##0,,\ &quot;JT&quot;" sourceLinked="0"/>
          <c:spPr>
            <a:solidFill>
              <a:srgbClr val="7030A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6441030121573001E-2"/>
              <c:y val="-7.4039442986293461E-2"/>
            </c:manualLayout>
          </c:layout>
          <c:numFmt formatCode="#,##0,,\ &quot;JT&quot;" sourceLinked="0"/>
          <c:spPr>
            <a:solidFill>
              <a:srgbClr val="7030A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1623709417919411E-2"/>
              <c:y val="3.4631087780609205E-5"/>
            </c:manualLayout>
          </c:layout>
          <c:numFmt formatCode="#,##0,,\ &quot;JT&quot;" sourceLinked="0"/>
          <c:spPr>
            <a:solidFill>
              <a:srgbClr val="7030A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6166697003706761E-2"/>
              <c:y val="-1.1574074074074162E-2"/>
            </c:manualLayout>
          </c:layout>
          <c:numFmt formatCode="#,##0,,\ &quot;JT&quot;" sourceLinked="0"/>
          <c:spPr>
            <a:solidFill>
              <a:srgbClr val="FF0000"/>
            </a:solid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7.1617891513560794E-2"/>
                  <c:h val="5.0856663750364538E-2"/>
                </c:manualLayout>
              </c15:layout>
            </c:ext>
          </c:extLst>
        </c:dLbl>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7063599458728011E-2"/>
              <c:y val="-9.2592592592591737E-3"/>
            </c:manualLayout>
          </c:layout>
          <c:numFmt formatCode="#,##0,,\ &quot;JT&quot;" sourceLinked="0"/>
          <c:spPr>
            <a:solidFill>
              <a:srgbClr val="FF00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505336832895888"/>
          <c:y val="0.13323855351414407"/>
          <c:w val="0.65605774278215223"/>
          <c:h val="0.65853091280256637"/>
        </c:manualLayout>
      </c:layout>
      <c:barChart>
        <c:barDir val="col"/>
        <c:grouping val="clustered"/>
        <c:varyColors val="0"/>
        <c:ser>
          <c:idx val="0"/>
          <c:order val="0"/>
          <c:tx>
            <c:strRef>
              <c:f>'DATA CASH'!$G$7:$G$8</c:f>
              <c:strCache>
                <c:ptCount val="1"/>
                <c:pt idx="0">
                  <c:v>KAS KELUAR</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E-866C-4654-8360-B6E695A6EB67}"/>
              </c:ext>
            </c:extLst>
          </c:dPt>
          <c:dPt>
            <c:idx val="1"/>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66C-4654-8360-B6E695A6EB67}"/>
              </c:ext>
            </c:extLst>
          </c:dPt>
          <c:dPt>
            <c:idx val="2"/>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66C-4654-8360-B6E695A6EB67}"/>
              </c:ext>
            </c:extLst>
          </c:dPt>
          <c:dPt>
            <c:idx val="6"/>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866C-4654-8360-B6E695A6EB67}"/>
              </c:ext>
            </c:extLst>
          </c:dPt>
          <c:dLbls>
            <c:dLbl>
              <c:idx val="0"/>
              <c:layout>
                <c:manualLayout>
                  <c:x val="-1.6166697003706761E-2"/>
                  <c:y val="-1.1574074074074162E-2"/>
                </c:manualLayout>
              </c:layout>
              <c:numFmt formatCode="#,##0,,\ &quot;JT&quot;" sourceLinked="0"/>
              <c:spPr>
                <a:solidFill>
                  <a:srgbClr val="FF0000"/>
                </a:solid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7.1617891513560794E-2"/>
                      <c:h val="5.0856663750364538E-2"/>
                    </c:manualLayout>
                  </c15:layout>
                </c:ext>
                <c:ext xmlns:c16="http://schemas.microsoft.com/office/drawing/2014/chart" uri="{C3380CC4-5D6E-409C-BE32-E72D297353CC}">
                  <c16:uniqueId val="{0000000E-866C-4654-8360-B6E695A6EB67}"/>
                </c:ext>
              </c:extLst>
            </c:dLbl>
            <c:dLbl>
              <c:idx val="1"/>
              <c:layout>
                <c:manualLayout>
                  <c:x val="-5.5491033850809247E-4"/>
                  <c:y val="4.63309273840768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66C-4654-8360-B6E695A6EB67}"/>
                </c:ext>
              </c:extLst>
            </c:dLbl>
            <c:dLbl>
              <c:idx val="2"/>
              <c:layout>
                <c:manualLayout>
                  <c:x val="-5.5491033850814202E-4"/>
                  <c:y val="6.484944590259542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66C-4654-8360-B6E695A6EB67}"/>
                </c:ext>
              </c:extLst>
            </c:dLbl>
            <c:dLbl>
              <c:idx val="6"/>
              <c:layout>
                <c:manualLayout>
                  <c:x val="-2.7063599458728011E-2"/>
                  <c:y val="-9.2592592592591737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866C-4654-8360-B6E695A6EB67}"/>
                </c:ext>
              </c:extLst>
            </c:dLbl>
            <c:numFmt formatCode="#,##0,,\ &quot;JT&quot;" sourceLinked="0"/>
            <c:spPr>
              <a:solidFill>
                <a:srgbClr val="FF00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'DATA CASH'!$F$9:$F$17</c:f>
              <c:strCache>
                <c:ptCount val="8"/>
                <c:pt idx="0">
                  <c:v>Jan</c:v>
                </c:pt>
                <c:pt idx="1">
                  <c:v>Feb</c:v>
                </c:pt>
                <c:pt idx="2">
                  <c:v>Mar</c:v>
                </c:pt>
                <c:pt idx="3">
                  <c:v>Apr</c:v>
                </c:pt>
                <c:pt idx="4">
                  <c:v>May</c:v>
                </c:pt>
                <c:pt idx="5">
                  <c:v>Jun</c:v>
                </c:pt>
                <c:pt idx="6">
                  <c:v>Jul</c:v>
                </c:pt>
                <c:pt idx="7">
                  <c:v>Aug</c:v>
                </c:pt>
              </c:strCache>
            </c:strRef>
          </c:cat>
          <c:val>
            <c:numRef>
              <c:f>'DATA CASH'!$G$9:$G$17</c:f>
              <c:numCache>
                <c:formatCode>#,##0</c:formatCode>
                <c:ptCount val="8"/>
                <c:pt idx="0">
                  <c:v>44779850</c:v>
                </c:pt>
                <c:pt idx="1">
                  <c:v>10623850</c:v>
                </c:pt>
                <c:pt idx="2">
                  <c:v>84743829</c:v>
                </c:pt>
                <c:pt idx="3">
                  <c:v>110371600</c:v>
                </c:pt>
                <c:pt idx="4">
                  <c:v>100816350</c:v>
                </c:pt>
                <c:pt idx="5">
                  <c:v>20065314</c:v>
                </c:pt>
                <c:pt idx="6">
                  <c:v>1464850</c:v>
                </c:pt>
                <c:pt idx="7">
                  <c:v>4964850</c:v>
                </c:pt>
              </c:numCache>
            </c:numRef>
          </c:val>
          <c:extLst>
            <c:ext xmlns:c16="http://schemas.microsoft.com/office/drawing/2014/chart" uri="{C3380CC4-5D6E-409C-BE32-E72D297353CC}">
              <c16:uniqueId val="{00000004-866C-4654-8360-B6E695A6EB67}"/>
            </c:ext>
          </c:extLst>
        </c:ser>
        <c:ser>
          <c:idx val="1"/>
          <c:order val="1"/>
          <c:tx>
            <c:strRef>
              <c:f>'DATA CASH'!$H$7:$H$8</c:f>
              <c:strCache>
                <c:ptCount val="1"/>
                <c:pt idx="0">
                  <c:v>KAS MASUK</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866C-4654-8360-B6E695A6EB67}"/>
              </c:ext>
            </c:extLst>
          </c:dPt>
          <c:dPt>
            <c:idx val="2"/>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8-866C-4654-8360-B6E695A6EB67}"/>
              </c:ext>
            </c:extLst>
          </c:dPt>
          <c:dPt>
            <c:idx val="4"/>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A-866C-4654-8360-B6E695A6EB67}"/>
              </c:ext>
            </c:extLst>
          </c:dPt>
          <c:dPt>
            <c:idx val="6"/>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866C-4654-8360-B6E695A6EB67}"/>
              </c:ext>
            </c:extLst>
          </c:dPt>
          <c:dPt>
            <c:idx val="7"/>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C-866C-4654-8360-B6E695A6EB67}"/>
              </c:ext>
            </c:extLst>
          </c:dPt>
          <c:dLbls>
            <c:dLbl>
              <c:idx val="0"/>
              <c:layout>
                <c:manualLayout>
                  <c:x val="5.0865928633075125E-2"/>
                  <c:y val="-9.2246281714785643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866C-4654-8360-B6E695A6EB67}"/>
                </c:ext>
              </c:extLst>
            </c:dLbl>
            <c:dLbl>
              <c:idx val="2"/>
              <c:layout>
                <c:manualLayout>
                  <c:x val="-6.1818230518884843E-3"/>
                  <c:y val="-4.8575750947798195E-2"/>
                </c:manualLayout>
              </c:layout>
              <c:numFmt formatCode="#,##0,,\ &quot;JT&quot;" sourceLinked="0"/>
              <c:spPr>
                <a:solidFill>
                  <a:srgbClr val="7030A0"/>
                </a:solid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7.7173447069116344E-2"/>
                      <c:h val="6.9375182268883062E-2"/>
                    </c:manualLayout>
                  </c15:layout>
                </c:ext>
                <c:ext xmlns:c16="http://schemas.microsoft.com/office/drawing/2014/chart" uri="{C3380CC4-5D6E-409C-BE32-E72D297353CC}">
                  <c16:uniqueId val="{00000008-866C-4654-8360-B6E695A6EB67}"/>
                </c:ext>
              </c:extLst>
            </c:dLbl>
            <c:dLbl>
              <c:idx val="4"/>
              <c:layout>
                <c:manualLayout>
                  <c:x val="-4.926938936421861E-2"/>
                  <c:y val="4.633092738407707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866C-4654-8360-B6E695A6EB67}"/>
                </c:ext>
              </c:extLst>
            </c:dLbl>
            <c:dLbl>
              <c:idx val="6"/>
              <c:layout>
                <c:manualLayout>
                  <c:x val="1.6441030121573001E-2"/>
                  <c:y val="-7.403944298629346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866C-4654-8360-B6E695A6EB67}"/>
                </c:ext>
              </c:extLst>
            </c:dLbl>
            <c:dLbl>
              <c:idx val="7"/>
              <c:layout>
                <c:manualLayout>
                  <c:x val="5.1623709417919411E-2"/>
                  <c:y val="3.4631087780609205E-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866C-4654-8360-B6E695A6EB67}"/>
                </c:ext>
              </c:extLst>
            </c:dLbl>
            <c:numFmt formatCode="#,##0,,\ &quot;JT&quot;" sourceLinked="0"/>
            <c:spPr>
              <a:solidFill>
                <a:srgbClr val="7030A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'DATA CASH'!$F$9:$F$17</c:f>
              <c:strCache>
                <c:ptCount val="8"/>
                <c:pt idx="0">
                  <c:v>Jan</c:v>
                </c:pt>
                <c:pt idx="1">
                  <c:v>Feb</c:v>
                </c:pt>
                <c:pt idx="2">
                  <c:v>Mar</c:v>
                </c:pt>
                <c:pt idx="3">
                  <c:v>Apr</c:v>
                </c:pt>
                <c:pt idx="4">
                  <c:v>May</c:v>
                </c:pt>
                <c:pt idx="5">
                  <c:v>Jun</c:v>
                </c:pt>
                <c:pt idx="6">
                  <c:v>Jul</c:v>
                </c:pt>
                <c:pt idx="7">
                  <c:v>Aug</c:v>
                </c:pt>
              </c:strCache>
            </c:strRef>
          </c:cat>
          <c:val>
            <c:numRef>
              <c:f>'DATA CASH'!$H$9:$H$17</c:f>
              <c:numCache>
                <c:formatCode>#,##0</c:formatCode>
                <c:ptCount val="8"/>
                <c:pt idx="0">
                  <c:v>47500000</c:v>
                </c:pt>
                <c:pt idx="1">
                  <c:v>16000000</c:v>
                </c:pt>
                <c:pt idx="2">
                  <c:v>86000000</c:v>
                </c:pt>
                <c:pt idx="3">
                  <c:v>133072650.5</c:v>
                </c:pt>
                <c:pt idx="4">
                  <c:v>91144488.100000009</c:v>
                </c:pt>
                <c:pt idx="6">
                  <c:v>1500000</c:v>
                </c:pt>
                <c:pt idx="7">
                  <c:v>4919261</c:v>
                </c:pt>
              </c:numCache>
            </c:numRef>
          </c:val>
          <c:extLst>
            <c:ext xmlns:c16="http://schemas.microsoft.com/office/drawing/2014/chart" uri="{C3380CC4-5D6E-409C-BE32-E72D297353CC}">
              <c16:uniqueId val="{0000000D-866C-4654-8360-B6E695A6EB67}"/>
            </c:ext>
          </c:extLst>
        </c:ser>
        <c:dLbls>
          <c:showLegendKey val="0"/>
          <c:showVal val="1"/>
          <c:showCatName val="0"/>
          <c:showSerName val="0"/>
          <c:showPercent val="0"/>
          <c:showBubbleSize val="0"/>
        </c:dLbls>
        <c:gapWidth val="150"/>
        <c:axId val="850332639"/>
        <c:axId val="850330239"/>
      </c:barChart>
      <c:catAx>
        <c:axId val="850332639"/>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50330239"/>
        <c:crosses val="autoZero"/>
        <c:auto val="1"/>
        <c:lblAlgn val="ctr"/>
        <c:lblOffset val="100"/>
        <c:noMultiLvlLbl val="0"/>
      </c:catAx>
      <c:valAx>
        <c:axId val="850330239"/>
        <c:scaling>
          <c:orientation val="minMax"/>
        </c:scaling>
        <c:delete val="0"/>
        <c:axPos val="l"/>
        <c:majorGridlines>
          <c:spPr>
            <a:ln w="9525" cap="flat" cmpd="sng" algn="ctr">
              <a:solidFill>
                <a:schemeClr val="lt1">
                  <a:lumMod val="95000"/>
                  <a:alpha val="10000"/>
                </a:schemeClr>
              </a:solidFill>
              <a:round/>
            </a:ln>
            <a:effectLst/>
          </c:spPr>
        </c:majorGridlines>
        <c:numFmt formatCode="#,##0,,\ &quot;JT&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503326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PEKERJAAN PROJECT SULSEL PERIODE 2026.xlsx]DASHBORAD PM!PivotTable7</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100"/>
              <a:t>KOMPOSISI NILAI SP  </a:t>
            </a:r>
          </a:p>
          <a:p>
            <a:pPr>
              <a:defRPr/>
            </a:pPr>
            <a:r>
              <a:rPr lang="en-US" sz="1100"/>
              <a:t>PERPROJECT JANUARI</a:t>
            </a:r>
            <a:r>
              <a:rPr lang="en-US" sz="1100" baseline="0"/>
              <a:t> - AGUSTUS 2026</a:t>
            </a:r>
            <a:endParaRPr lang="en-US" sz="1100"/>
          </a:p>
        </c:rich>
      </c:tx>
      <c:layout>
        <c:manualLayout>
          <c:xMode val="edge"/>
          <c:yMode val="edge"/>
          <c:x val="3.5743036442426615E-2"/>
          <c:y val="5.0716444372517842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75000"/>
            </a:schemeClr>
          </a:soli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'DASHBORAD PM'!$BG$16</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1C4E-4594-BC8D-9DC9BD4749D8}"/>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1C4E-4594-BC8D-9DC9BD4749D8}"/>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1C4E-4594-BC8D-9DC9BD4749D8}"/>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2-E454-411F-AB47-95E74046917C}"/>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1C4E-4594-BC8D-9DC9BD4749D8}"/>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B-1C4E-4594-BC8D-9DC9BD4749D8}"/>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D-1C4E-4594-BC8D-9DC9BD4749D8}"/>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F-1C4E-4594-BC8D-9DC9BD4749D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'DASHBORAD PM'!$BF$17:$BF$25</c:f>
              <c:strCache>
                <c:ptCount val="8"/>
                <c:pt idx="0">
                  <c:v>NODE-B JNP037 JNP067 WITEL MAKASSAR</c:v>
                </c:pt>
                <c:pt idx="1">
                  <c:v>NODE-B 8 LOP BRANCH MAKASSAR</c:v>
                </c:pt>
                <c:pt idx="2">
                  <c:v>NODE-B 6 LOP BRANCH MAKASSAR</c:v>
                </c:pt>
                <c:pt idx="3">
                  <c:v>MITRATEL WO#234 BRANCH MAKASSAR</c:v>
                </c:pt>
                <c:pt idx="4">
                  <c:v>NODE-B 1 LOP WTP192 BRANCH MAKASSAR</c:v>
                </c:pt>
                <c:pt idx="5">
                  <c:v>JPP 4 LOP WITEL MAKASSAR</c:v>
                </c:pt>
                <c:pt idx="6">
                  <c:v>HEM 4 LOP BRANCH MAKASSAR</c:v>
                </c:pt>
                <c:pt idx="7">
                  <c:v>NODE B 2 LOP BRANCH MAKASSAR</c:v>
                </c:pt>
              </c:strCache>
            </c:strRef>
          </c:cat>
          <c:val>
            <c:numRef>
              <c:f>'DASHBORAD PM'!$BG$17:$BG$25</c:f>
              <c:numCache>
                <c:formatCode>0.00%</c:formatCode>
                <c:ptCount val="8"/>
                <c:pt idx="0">
                  <c:v>0.14170337765653751</c:v>
                </c:pt>
                <c:pt idx="1">
                  <c:v>0.19804049722293865</c:v>
                </c:pt>
                <c:pt idx="2">
                  <c:v>4.1741777767750871E-2</c:v>
                </c:pt>
                <c:pt idx="3">
                  <c:v>5.7635610931670404E-2</c:v>
                </c:pt>
                <c:pt idx="4">
                  <c:v>0.11375132187500574</c:v>
                </c:pt>
                <c:pt idx="5">
                  <c:v>0.40497918236665348</c:v>
                </c:pt>
                <c:pt idx="6">
                  <c:v>2.6242888169387919E-2</c:v>
                </c:pt>
                <c:pt idx="7">
                  <c:v>1.5905344010055417E-2</c:v>
                </c:pt>
              </c:numCache>
            </c:numRef>
          </c:val>
          <c:extLst>
            <c:ext xmlns:c16="http://schemas.microsoft.com/office/drawing/2014/chart" uri="{C3380CC4-5D6E-409C-BE32-E72D297353CC}">
              <c16:uniqueId val="{00000000-E454-411F-AB47-95E74046917C}"/>
            </c:ext>
          </c:extLst>
        </c:ser>
        <c:dLbls>
          <c:showLegendKey val="0"/>
          <c:showVal val="1"/>
          <c:showCatName val="0"/>
          <c:showSerName val="0"/>
          <c:showPercent val="0"/>
          <c:showBubbleSize val="0"/>
          <c:showLeaderLines val="1"/>
        </c:dLbls>
      </c:pie3DChart>
      <c:spPr>
        <a:noFill/>
        <a:ln>
          <a:noFill/>
        </a:ln>
        <a:effectLst/>
      </c:spPr>
    </c:plotArea>
    <c:legend>
      <c:legendPos val="r"/>
      <c:layout>
        <c:manualLayout>
          <c:xMode val="edge"/>
          <c:yMode val="edge"/>
          <c:x val="0.64917497812773406"/>
          <c:y val="4.0066710411198594E-2"/>
          <c:w val="0.33415835520559928"/>
          <c:h val="0.8923665791776027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PEKERJAAN PROJECT SULSEL PERIODE 2026.xlsx]DASHBORAD PM!PivotTable8</c:name>
    <c:fmtId val="0"/>
  </c:pivotSource>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ID" sz="1400"/>
              <a:t>BUDGET</a:t>
            </a:r>
            <a:r>
              <a:rPr lang="en-ID" sz="1400" baseline="0"/>
              <a:t> &amp; REALISASI ANGGARAN JANUARI - AGUSTUS 2026</a:t>
            </a:r>
            <a:endParaRPr lang="en-ID" sz="1400"/>
          </a:p>
        </c:rich>
      </c:tx>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ID"/>
        </a:p>
      </c:txPr>
    </c:title>
    <c:autoTitleDeleted val="0"/>
    <c:pivotFmts>
      <c:pivotFmt>
        <c:idx val="0"/>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ED7D31">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'DASHBORAD PM'!$BK$2</c:f>
              <c:strCache>
                <c:ptCount val="1"/>
                <c:pt idx="0">
                  <c:v>Sum of REALISASI ANGGARAN</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'DASHBORAD PM'!$BJ$3:$BJ$7</c:f>
              <c:strCache>
                <c:ptCount val="4"/>
                <c:pt idx="0">
                  <c:v>HEM</c:v>
                </c:pt>
                <c:pt idx="1">
                  <c:v>JPP MD</c:v>
                </c:pt>
                <c:pt idx="2">
                  <c:v>MITRATEL</c:v>
                </c:pt>
                <c:pt idx="3">
                  <c:v>NODE-B</c:v>
                </c:pt>
              </c:strCache>
            </c:strRef>
          </c:cat>
          <c:val>
            <c:numRef>
              <c:f>'DASHBORAD PM'!$BK$3:$BK$7</c:f>
              <c:numCache>
                <c:formatCode>#,##0</c:formatCode>
                <c:ptCount val="4"/>
                <c:pt idx="0">
                  <c:v>8463750</c:v>
                </c:pt>
                <c:pt idx="1">
                  <c:v>168065942</c:v>
                </c:pt>
                <c:pt idx="2">
                  <c:v>22245149</c:v>
                </c:pt>
                <c:pt idx="3">
                  <c:v>182961559.09999999</c:v>
                </c:pt>
              </c:numCache>
            </c:numRef>
          </c:val>
          <c:extLst>
            <c:ext xmlns:c16="http://schemas.microsoft.com/office/drawing/2014/chart" uri="{C3380CC4-5D6E-409C-BE32-E72D297353CC}">
              <c16:uniqueId val="{00000000-ACC0-49C8-B3C2-814253B4F4E2}"/>
            </c:ext>
          </c:extLst>
        </c:ser>
        <c:ser>
          <c:idx val="1"/>
          <c:order val="1"/>
          <c:tx>
            <c:strRef>
              <c:f>'DASHBORAD PM'!$BL$2</c:f>
              <c:strCache>
                <c:ptCount val="1"/>
                <c:pt idx="0">
                  <c:v>Sum of BUDGET </c:v>
                </c:pt>
              </c:strCache>
            </c:strRef>
          </c:tx>
          <c:spPr>
            <a:solidFill>
              <a:schemeClr val="accent2">
                <a:alpha val="88000"/>
              </a:schemeClr>
            </a:solid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invertIfNegative val="0"/>
          <c:dLbls>
            <c:spPr>
              <a:solidFill>
                <a:srgbClr val="ED7D31">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'DASHBORAD PM'!$BJ$3:$BJ$7</c:f>
              <c:strCache>
                <c:ptCount val="4"/>
                <c:pt idx="0">
                  <c:v>HEM</c:v>
                </c:pt>
                <c:pt idx="1">
                  <c:v>JPP MD</c:v>
                </c:pt>
                <c:pt idx="2">
                  <c:v>MITRATEL</c:v>
                </c:pt>
                <c:pt idx="3">
                  <c:v>NODE-B</c:v>
                </c:pt>
              </c:strCache>
            </c:strRef>
          </c:cat>
          <c:val>
            <c:numRef>
              <c:f>'DASHBORAD PM'!$BL$3:$BL$7</c:f>
              <c:numCache>
                <c:formatCode>#,##0</c:formatCode>
                <c:ptCount val="4"/>
                <c:pt idx="0">
                  <c:v>10277519</c:v>
                </c:pt>
                <c:pt idx="1">
                  <c:v>158602255</c:v>
                </c:pt>
                <c:pt idx="2">
                  <c:v>22571871</c:v>
                </c:pt>
                <c:pt idx="3">
                  <c:v>200178991.59999999</c:v>
                </c:pt>
              </c:numCache>
            </c:numRef>
          </c:val>
          <c:extLst>
            <c:ext xmlns:c16="http://schemas.microsoft.com/office/drawing/2014/chart" uri="{C3380CC4-5D6E-409C-BE32-E72D297353CC}">
              <c16:uniqueId val="{00000001-ACC0-49C8-B3C2-814253B4F4E2}"/>
            </c:ext>
          </c:extLst>
        </c:ser>
        <c:dLbls>
          <c:showLegendKey val="0"/>
          <c:showVal val="1"/>
          <c:showCatName val="0"/>
          <c:showSerName val="0"/>
          <c:showPercent val="0"/>
          <c:showBubbleSize val="0"/>
        </c:dLbls>
        <c:gapWidth val="84"/>
        <c:gapDepth val="53"/>
        <c:shape val="box"/>
        <c:axId val="1443773167"/>
        <c:axId val="1443773647"/>
        <c:axId val="72214911"/>
      </c:bar3DChart>
      <c:catAx>
        <c:axId val="1443773167"/>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443773647"/>
        <c:crosses val="autoZero"/>
        <c:auto val="1"/>
        <c:lblAlgn val="ctr"/>
        <c:lblOffset val="100"/>
        <c:noMultiLvlLbl val="0"/>
      </c:catAx>
      <c:valAx>
        <c:axId val="1443773647"/>
        <c:scaling>
          <c:orientation val="minMax"/>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443773167"/>
        <c:crosses val="autoZero"/>
        <c:crossBetween val="between"/>
      </c:valAx>
      <c:serAx>
        <c:axId val="72214911"/>
        <c:scaling>
          <c:orientation val="minMax"/>
        </c:scaling>
        <c:delete val="1"/>
        <c:axPos val="b"/>
        <c:majorTickMark val="out"/>
        <c:minorTickMark val="none"/>
        <c:tickLblPos val="nextTo"/>
        <c:crossAx val="1443773647"/>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PEKERJAAN PROJECT SULSEL PERIODE 2026.xlsx]DASHBORAD PM!PivotTable9</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100"/>
              <a:t>PENYERAPAN ANGGARAN PERPROJECT JANUARI - AGUSTUS 2026</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rgbClr val="00B05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a:outerShdw blurRad="57150" dist="19050" dir="5400000" algn="ctr" rotWithShape="0">
              <a:srgbClr val="000000">
                <a:alpha val="63000"/>
              </a:srgbClr>
            </a:outerShdw>
          </a:effectLst>
        </c:spPr>
      </c:pivotFmt>
      <c:pivotFmt>
        <c:idx val="2"/>
        <c:spPr>
          <a:solidFill>
            <a:srgbClr val="FFFF00"/>
          </a:solidFill>
          <a:ln>
            <a:noFill/>
          </a:ln>
          <a:effectLst>
            <a:outerShdw blurRad="57150" dist="19050" dir="5400000" algn="ctr" rotWithShape="0">
              <a:srgbClr val="000000">
                <a:alpha val="63000"/>
              </a:srgbClr>
            </a:outerShdw>
          </a:effectLst>
        </c:spPr>
      </c:pivotFmt>
      <c:pivotFmt>
        <c:idx val="3"/>
        <c:spPr>
          <a:solidFill>
            <a:srgbClr val="FFFF00"/>
          </a:solidFill>
          <a:ln>
            <a:noFill/>
          </a:ln>
          <a:effectLst>
            <a:outerShdw blurRad="57150" dist="19050" dir="5400000" algn="ctr" rotWithShape="0">
              <a:srgbClr val="000000">
                <a:alpha val="63000"/>
              </a:srgbClr>
            </a:outerShdw>
          </a:effectLst>
        </c:spPr>
      </c:pivotFmt>
      <c:pivotFmt>
        <c:idx val="4"/>
        <c:spPr>
          <a:solidFill>
            <a:srgbClr val="FFFF00"/>
          </a:solidFill>
          <a:ln>
            <a:noFill/>
          </a:ln>
          <a:effectLst>
            <a:outerShdw blurRad="57150" dist="19050" dir="5400000" algn="ctr" rotWithShape="0">
              <a:srgbClr val="000000">
                <a:alpha val="63000"/>
              </a:srgbClr>
            </a:outerShdw>
          </a:effectLst>
        </c:spPr>
      </c:pivotFmt>
    </c:pivotFmts>
    <c:plotArea>
      <c:layout/>
      <c:barChart>
        <c:barDir val="bar"/>
        <c:grouping val="clustered"/>
        <c:varyColors val="0"/>
        <c:ser>
          <c:idx val="0"/>
          <c:order val="0"/>
          <c:tx>
            <c:strRef>
              <c:f>'DASHBORAD PM'!$BP$2</c:f>
              <c:strCache>
                <c:ptCount val="1"/>
                <c:pt idx="0">
                  <c:v>Total</c:v>
                </c:pt>
              </c:strCache>
            </c:strRef>
          </c:tx>
          <c:spPr>
            <a:solidFill>
              <a:srgbClr val="00B050"/>
            </a:solidFill>
            <a:ln>
              <a:noFill/>
            </a:ln>
            <a:effectLst>
              <a:outerShdw blurRad="57150" dist="19050" dir="5400000" algn="ctr" rotWithShape="0">
                <a:srgbClr val="000000">
                  <a:alpha val="63000"/>
                </a:srgbClr>
              </a:outerShdw>
            </a:effectLst>
          </c:spPr>
          <c:invertIfNegative val="0"/>
          <c:dPt>
            <c:idx val="0"/>
            <c:invertIfNegative val="0"/>
            <c:bubble3D val="0"/>
            <c:spPr>
              <a:solidFill>
                <a:srgbClr val="FF000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3502-400A-A092-F5BB121BEA8B}"/>
              </c:ext>
            </c:extLst>
          </c:dPt>
          <c:dPt>
            <c:idx val="1"/>
            <c:invertIfNegative val="0"/>
            <c:bubble3D val="0"/>
            <c:spPr>
              <a:solidFill>
                <a:srgbClr val="FFFF0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3502-400A-A092-F5BB121BEA8B}"/>
              </c:ext>
            </c:extLst>
          </c:dPt>
          <c:dPt>
            <c:idx val="2"/>
            <c:invertIfNegative val="0"/>
            <c:bubble3D val="0"/>
            <c:spPr>
              <a:solidFill>
                <a:srgbClr val="FFFF0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4-3502-400A-A092-F5BB121BEA8B}"/>
              </c:ext>
            </c:extLst>
          </c:dPt>
          <c:dPt>
            <c:idx val="3"/>
            <c:invertIfNegative val="0"/>
            <c:bubble3D val="0"/>
            <c:spPr>
              <a:solidFill>
                <a:srgbClr val="FFFF0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502-400A-A092-F5BB121BEA8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'DASHBORAD PM'!$BO$3:$BO$11</c:f>
              <c:strCache>
                <c:ptCount val="8"/>
                <c:pt idx="0">
                  <c:v>JPP 4 LOP WITEL MAKASSAR</c:v>
                </c:pt>
                <c:pt idx="1">
                  <c:v>MITRATEL WO#234 BRANCH MAKASSAR</c:v>
                </c:pt>
                <c:pt idx="2">
                  <c:v>NODE-B JNP037 JNP067 WITEL MAKASSAR</c:v>
                </c:pt>
                <c:pt idx="3">
                  <c:v>NODE-B 8 LOP BRANCH MAKASSAR</c:v>
                </c:pt>
                <c:pt idx="4">
                  <c:v>NODE-B 6 LOP BRANCH MAKASSAR</c:v>
                </c:pt>
                <c:pt idx="5">
                  <c:v>NODE-B 1 LOP WTP192 BRANCH MAKASSAR</c:v>
                </c:pt>
                <c:pt idx="6">
                  <c:v>HEM 4 LOP BRANCH MAKASSAR</c:v>
                </c:pt>
                <c:pt idx="7">
                  <c:v>NODE B 2 LOP BRANCH MAKASSAR</c:v>
                </c:pt>
              </c:strCache>
            </c:strRef>
          </c:cat>
          <c:val>
            <c:numRef>
              <c:f>'DASHBORAD PM'!$BP$3:$BP$11</c:f>
              <c:numCache>
                <c:formatCode>0.00%</c:formatCode>
                <c:ptCount val="8"/>
                <c:pt idx="0">
                  <c:v>1.0596693092415364</c:v>
                </c:pt>
                <c:pt idx="1">
                  <c:v>0.98552525840680194</c:v>
                </c:pt>
                <c:pt idx="2">
                  <c:v>0.9550343862833709</c:v>
                </c:pt>
                <c:pt idx="3">
                  <c:v>0.9283288124149951</c:v>
                </c:pt>
                <c:pt idx="4">
                  <c:v>0.9236966044484618</c:v>
                </c:pt>
                <c:pt idx="5">
                  <c:v>0.85170759701359744</c:v>
                </c:pt>
                <c:pt idx="6">
                  <c:v>0.82352073491666622</c:v>
                </c:pt>
                <c:pt idx="7">
                  <c:v>0.78973273484432538</c:v>
                </c:pt>
              </c:numCache>
            </c:numRef>
          </c:val>
          <c:extLst>
            <c:ext xmlns:c16="http://schemas.microsoft.com/office/drawing/2014/chart" uri="{C3380CC4-5D6E-409C-BE32-E72D297353CC}">
              <c16:uniqueId val="{00000000-3502-400A-A092-F5BB121BEA8B}"/>
            </c:ext>
          </c:extLst>
        </c:ser>
        <c:dLbls>
          <c:dLblPos val="outEnd"/>
          <c:showLegendKey val="0"/>
          <c:showVal val="1"/>
          <c:showCatName val="0"/>
          <c:showSerName val="0"/>
          <c:showPercent val="0"/>
          <c:showBubbleSize val="0"/>
        </c:dLbls>
        <c:gapWidth val="115"/>
        <c:overlap val="-20"/>
        <c:axId val="1443771247"/>
        <c:axId val="1443754927"/>
      </c:barChart>
      <c:catAx>
        <c:axId val="1443771247"/>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43754927"/>
        <c:crosses val="autoZero"/>
        <c:auto val="1"/>
        <c:lblAlgn val="ctr"/>
        <c:lblOffset val="100"/>
        <c:noMultiLvlLbl val="0"/>
      </c:catAx>
      <c:valAx>
        <c:axId val="1443754927"/>
        <c:scaling>
          <c:orientation val="minMax"/>
        </c:scaling>
        <c:delete val="1"/>
        <c:axPos val="b"/>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crossAx val="14437712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PEKERJAAN PROJECT SULSEL PERIODE 2026.xlsx]DASHBORAD PM!PivotTable10</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D" sz="1200"/>
              <a:t>TREN REALISASI</a:t>
            </a:r>
            <a:r>
              <a:rPr lang="en-ID" sz="1200" baseline="0"/>
              <a:t> ANGGARAN BERDASARKAN BUDGET JANUARI - AGUSTUS 2026</a:t>
            </a:r>
            <a:endParaRPr lang="en-ID" sz="1200"/>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D"/>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'DASHBORAD PM'!$BS$2</c:f>
              <c:strCache>
                <c:ptCount val="1"/>
                <c:pt idx="0">
                  <c:v>Sum of REALISASI ANGGARAN</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'DASHBORAD PM'!$BR$3:$BR$8</c:f>
              <c:strCache>
                <c:ptCount val="6"/>
                <c:pt idx="0">
                  <c:v>Jan</c:v>
                </c:pt>
                <c:pt idx="1">
                  <c:v>Mar</c:v>
                </c:pt>
                <c:pt idx="2">
                  <c:v>Apr</c:v>
                </c:pt>
                <c:pt idx="3">
                  <c:v>May</c:v>
                </c:pt>
                <c:pt idx="4">
                  <c:v>Jun</c:v>
                </c:pt>
                <c:pt idx="5">
                  <c:v>Aug</c:v>
                </c:pt>
              </c:strCache>
            </c:strRef>
          </c:cat>
          <c:val>
            <c:numRef>
              <c:f>'DASHBORAD PM'!$BS$3:$BS$8</c:f>
              <c:numCache>
                <c:formatCode>#,##0</c:formatCode>
                <c:ptCount val="6"/>
                <c:pt idx="0">
                  <c:v>53000000</c:v>
                </c:pt>
                <c:pt idx="1">
                  <c:v>72000000</c:v>
                </c:pt>
                <c:pt idx="2">
                  <c:v>37345149</c:v>
                </c:pt>
                <c:pt idx="3">
                  <c:v>206008240.09999999</c:v>
                </c:pt>
                <c:pt idx="4">
                  <c:v>8463750</c:v>
                </c:pt>
                <c:pt idx="5">
                  <c:v>4919261</c:v>
                </c:pt>
              </c:numCache>
            </c:numRef>
          </c:val>
          <c:extLst>
            <c:ext xmlns:c16="http://schemas.microsoft.com/office/drawing/2014/chart" uri="{C3380CC4-5D6E-409C-BE32-E72D297353CC}">
              <c16:uniqueId val="{00000000-B995-4D45-972C-4B2F7912E277}"/>
            </c:ext>
          </c:extLst>
        </c:ser>
        <c:dLbls>
          <c:showLegendKey val="0"/>
          <c:showVal val="0"/>
          <c:showCatName val="0"/>
          <c:showSerName val="0"/>
          <c:showPercent val="0"/>
          <c:showBubbleSize val="0"/>
        </c:dLbls>
        <c:gapWidth val="150"/>
        <c:axId val="1443738127"/>
        <c:axId val="1443738607"/>
      </c:barChart>
      <c:lineChart>
        <c:grouping val="standard"/>
        <c:varyColors val="0"/>
        <c:ser>
          <c:idx val="1"/>
          <c:order val="1"/>
          <c:tx>
            <c:strRef>
              <c:f>'DASHBORAD PM'!$BT$2</c:f>
              <c:strCache>
                <c:ptCount val="1"/>
                <c:pt idx="0">
                  <c:v>Sum of BUDGET </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cat>
            <c:strRef>
              <c:f>'DASHBORAD PM'!$BR$3:$BR$8</c:f>
              <c:strCache>
                <c:ptCount val="6"/>
                <c:pt idx="0">
                  <c:v>Jan</c:v>
                </c:pt>
                <c:pt idx="1">
                  <c:v>Mar</c:v>
                </c:pt>
                <c:pt idx="2">
                  <c:v>Apr</c:v>
                </c:pt>
                <c:pt idx="3">
                  <c:v>May</c:v>
                </c:pt>
                <c:pt idx="4">
                  <c:v>Jun</c:v>
                </c:pt>
                <c:pt idx="5">
                  <c:v>Aug</c:v>
                </c:pt>
              </c:strCache>
            </c:strRef>
          </c:cat>
          <c:val>
            <c:numRef>
              <c:f>'DASHBORAD PM'!$BT$3:$BT$8</c:f>
              <c:numCache>
                <c:formatCode>#,##0</c:formatCode>
                <c:ptCount val="6"/>
                <c:pt idx="0">
                  <c:v>55495384</c:v>
                </c:pt>
                <c:pt idx="1">
                  <c:v>77558726</c:v>
                </c:pt>
                <c:pt idx="2">
                  <c:v>38919230</c:v>
                </c:pt>
                <c:pt idx="3">
                  <c:v>203150757.59999999</c:v>
                </c:pt>
                <c:pt idx="4">
                  <c:v>10277519</c:v>
                </c:pt>
                <c:pt idx="5">
                  <c:v>6229020</c:v>
                </c:pt>
              </c:numCache>
            </c:numRef>
          </c:val>
          <c:smooth val="0"/>
          <c:extLst>
            <c:ext xmlns:c16="http://schemas.microsoft.com/office/drawing/2014/chart" uri="{C3380CC4-5D6E-409C-BE32-E72D297353CC}">
              <c16:uniqueId val="{00000001-B995-4D45-972C-4B2F7912E277}"/>
            </c:ext>
          </c:extLst>
        </c:ser>
        <c:dLbls>
          <c:showLegendKey val="0"/>
          <c:showVal val="0"/>
          <c:showCatName val="0"/>
          <c:showSerName val="0"/>
          <c:showPercent val="0"/>
          <c:showBubbleSize val="0"/>
        </c:dLbls>
        <c:marker val="1"/>
        <c:smooth val="0"/>
        <c:axId val="1443738127"/>
        <c:axId val="1443738607"/>
      </c:lineChart>
      <c:catAx>
        <c:axId val="144373812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43738607"/>
        <c:crosses val="autoZero"/>
        <c:auto val="1"/>
        <c:lblAlgn val="ctr"/>
        <c:lblOffset val="100"/>
        <c:noMultiLvlLbl val="0"/>
      </c:catAx>
      <c:valAx>
        <c:axId val="1443738607"/>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437381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9.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6.svg"/><Relationship Id="rId13" Type="http://schemas.openxmlformats.org/officeDocument/2006/relationships/image" Target="../media/image9.png"/><Relationship Id="rId18" Type="http://schemas.microsoft.com/office/2007/relationships/hdphoto" Target="../media/hdphoto1.wdp"/><Relationship Id="rId3" Type="http://schemas.openxmlformats.org/officeDocument/2006/relationships/image" Target="../media/image3.png"/><Relationship Id="rId7" Type="http://schemas.openxmlformats.org/officeDocument/2006/relationships/image" Target="../media/image5.png"/><Relationship Id="rId12" Type="http://schemas.openxmlformats.org/officeDocument/2006/relationships/chart" Target="../charts/chart4.xml"/><Relationship Id="rId17" Type="http://schemas.openxmlformats.org/officeDocument/2006/relationships/image" Target="../media/image13.png"/><Relationship Id="rId2" Type="http://schemas.openxmlformats.org/officeDocument/2006/relationships/image" Target="../media/image2.svg"/><Relationship Id="rId16" Type="http://schemas.openxmlformats.org/officeDocument/2006/relationships/image" Target="../media/image12.svg"/><Relationship Id="rId1" Type="http://schemas.openxmlformats.org/officeDocument/2006/relationships/image" Target="../media/image1.png"/><Relationship Id="rId6" Type="http://schemas.openxmlformats.org/officeDocument/2006/relationships/chart" Target="../charts/chart2.xml"/><Relationship Id="rId11" Type="http://schemas.openxmlformats.org/officeDocument/2006/relationships/image" Target="../media/image8.svg"/><Relationship Id="rId5" Type="http://schemas.openxmlformats.org/officeDocument/2006/relationships/chart" Target="../charts/chart1.xml"/><Relationship Id="rId15" Type="http://schemas.openxmlformats.org/officeDocument/2006/relationships/image" Target="../media/image11.png"/><Relationship Id="rId10" Type="http://schemas.openxmlformats.org/officeDocument/2006/relationships/image" Target="../media/image7.png"/><Relationship Id="rId4" Type="http://schemas.openxmlformats.org/officeDocument/2006/relationships/image" Target="../media/image4.svg"/><Relationship Id="rId9" Type="http://schemas.openxmlformats.org/officeDocument/2006/relationships/chart" Target="../charts/chart3.xml"/><Relationship Id="rId14" Type="http://schemas.openxmlformats.org/officeDocument/2006/relationships/image" Target="../media/image10.svg"/></Relationships>
</file>

<file path=xl/drawings/_rels/drawing2.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8" Type="http://schemas.openxmlformats.org/officeDocument/2006/relationships/image" Target="../media/image17.svg"/><Relationship Id="rId13" Type="http://schemas.openxmlformats.org/officeDocument/2006/relationships/image" Target="../media/image22.png"/><Relationship Id="rId3" Type="http://schemas.openxmlformats.org/officeDocument/2006/relationships/chart" Target="../charts/chart9.xml"/><Relationship Id="rId7" Type="http://schemas.openxmlformats.org/officeDocument/2006/relationships/image" Target="../media/image16.png"/><Relationship Id="rId12" Type="http://schemas.openxmlformats.org/officeDocument/2006/relationships/image" Target="../media/image21.svg"/><Relationship Id="rId2" Type="http://schemas.openxmlformats.org/officeDocument/2006/relationships/chart" Target="../charts/chart8.xml"/><Relationship Id="rId16" Type="http://schemas.openxmlformats.org/officeDocument/2006/relationships/image" Target="../media/image25.svg"/><Relationship Id="rId1" Type="http://schemas.openxmlformats.org/officeDocument/2006/relationships/chart" Target="../charts/chart7.xml"/><Relationship Id="rId6" Type="http://schemas.openxmlformats.org/officeDocument/2006/relationships/image" Target="../media/image15.svg"/><Relationship Id="rId11" Type="http://schemas.openxmlformats.org/officeDocument/2006/relationships/image" Target="../media/image20.png"/><Relationship Id="rId5" Type="http://schemas.openxmlformats.org/officeDocument/2006/relationships/image" Target="../media/image14.png"/><Relationship Id="rId15" Type="http://schemas.openxmlformats.org/officeDocument/2006/relationships/image" Target="../media/image24.png"/><Relationship Id="rId10" Type="http://schemas.openxmlformats.org/officeDocument/2006/relationships/image" Target="../media/image19.svg"/><Relationship Id="rId4" Type="http://schemas.openxmlformats.org/officeDocument/2006/relationships/chart" Target="../charts/chart10.xml"/><Relationship Id="rId9" Type="http://schemas.openxmlformats.org/officeDocument/2006/relationships/image" Target="../media/image18.png"/><Relationship Id="rId14" Type="http://schemas.openxmlformats.org/officeDocument/2006/relationships/image" Target="../media/image23.svg"/></Relationships>
</file>

<file path=xl/drawings/drawing1.xml><?xml version="1.0" encoding="utf-8"?>
<xdr:wsDr xmlns:xdr="http://schemas.openxmlformats.org/drawingml/2006/spreadsheetDrawing" xmlns:a="http://schemas.openxmlformats.org/drawingml/2006/main">
  <xdr:twoCellAnchor>
    <xdr:from>
      <xdr:col>0</xdr:col>
      <xdr:colOff>368282</xdr:colOff>
      <xdr:row>0</xdr:row>
      <xdr:rowOff>221720</xdr:rowOff>
    </xdr:from>
    <xdr:to>
      <xdr:col>17</xdr:col>
      <xdr:colOff>563562</xdr:colOff>
      <xdr:row>41</xdr:row>
      <xdr:rowOff>31752</xdr:rowOff>
    </xdr:to>
    <xdr:grpSp>
      <xdr:nvGrpSpPr>
        <xdr:cNvPr id="107" name="Group 106">
          <a:extLst>
            <a:ext uri="{FF2B5EF4-FFF2-40B4-BE49-F238E27FC236}">
              <a16:creationId xmlns:a16="http://schemas.microsoft.com/office/drawing/2014/main" id="{57078600-A0BD-BBAE-E91D-77FBD29726E9}"/>
            </a:ext>
          </a:extLst>
        </xdr:cNvPr>
        <xdr:cNvGrpSpPr/>
      </xdr:nvGrpSpPr>
      <xdr:grpSpPr>
        <a:xfrm>
          <a:off x="368282" y="221720"/>
          <a:ext cx="11942780" cy="8509532"/>
          <a:chOff x="635437" y="351667"/>
          <a:chExt cx="12128819" cy="9137425"/>
        </a:xfrm>
      </xdr:grpSpPr>
      <xdr:grpSp>
        <xdr:nvGrpSpPr>
          <xdr:cNvPr id="99" name="Group 98">
            <a:extLst>
              <a:ext uri="{FF2B5EF4-FFF2-40B4-BE49-F238E27FC236}">
                <a16:creationId xmlns:a16="http://schemas.microsoft.com/office/drawing/2014/main" id="{46A69EBE-A594-C81A-B932-F278C2E34097}"/>
              </a:ext>
            </a:extLst>
          </xdr:cNvPr>
          <xdr:cNvGrpSpPr/>
        </xdr:nvGrpSpPr>
        <xdr:grpSpPr>
          <a:xfrm>
            <a:off x="635437" y="351667"/>
            <a:ext cx="12128819" cy="9137425"/>
            <a:chOff x="163723" y="220133"/>
            <a:chExt cx="12076658" cy="9106808"/>
          </a:xfrm>
        </xdr:grpSpPr>
        <xdr:grpSp>
          <xdr:nvGrpSpPr>
            <xdr:cNvPr id="96" name="Group 95">
              <a:extLst>
                <a:ext uri="{FF2B5EF4-FFF2-40B4-BE49-F238E27FC236}">
                  <a16:creationId xmlns:a16="http://schemas.microsoft.com/office/drawing/2014/main" id="{03DB80A4-D9B1-0F06-51C1-DB31712412E4}"/>
                </a:ext>
              </a:extLst>
            </xdr:cNvPr>
            <xdr:cNvGrpSpPr/>
          </xdr:nvGrpSpPr>
          <xdr:grpSpPr>
            <a:xfrm>
              <a:off x="163723" y="220133"/>
              <a:ext cx="12076658" cy="9106808"/>
              <a:chOff x="10916389" y="61383"/>
              <a:chExt cx="12165861" cy="8828617"/>
            </a:xfrm>
          </xdr:grpSpPr>
          <xdr:grpSp>
            <xdr:nvGrpSpPr>
              <xdr:cNvPr id="94" name="Group 93">
                <a:extLst>
                  <a:ext uri="{FF2B5EF4-FFF2-40B4-BE49-F238E27FC236}">
                    <a16:creationId xmlns:a16="http://schemas.microsoft.com/office/drawing/2014/main" id="{6BFD0E64-1174-6765-65A4-582AF86B74A3}"/>
                  </a:ext>
                </a:extLst>
              </xdr:cNvPr>
              <xdr:cNvGrpSpPr/>
            </xdr:nvGrpSpPr>
            <xdr:grpSpPr>
              <a:xfrm>
                <a:off x="10916389" y="61383"/>
                <a:ext cx="12165861" cy="7071783"/>
                <a:chOff x="10916389" y="61383"/>
                <a:chExt cx="12165861" cy="7071783"/>
              </a:xfrm>
            </xdr:grpSpPr>
            <xdr:grpSp>
              <xdr:nvGrpSpPr>
                <xdr:cNvPr id="75" name="Group 74">
                  <a:extLst>
                    <a:ext uri="{FF2B5EF4-FFF2-40B4-BE49-F238E27FC236}">
                      <a16:creationId xmlns:a16="http://schemas.microsoft.com/office/drawing/2014/main" id="{042D39DD-1540-1715-89E4-DFD098DF979B}"/>
                    </a:ext>
                  </a:extLst>
                </xdr:cNvPr>
                <xdr:cNvGrpSpPr/>
              </xdr:nvGrpSpPr>
              <xdr:grpSpPr>
                <a:xfrm>
                  <a:off x="10916389" y="61383"/>
                  <a:ext cx="9990772" cy="2443922"/>
                  <a:chOff x="10983382" y="19050"/>
                  <a:chExt cx="9082517" cy="2443922"/>
                </a:xfrm>
              </xdr:grpSpPr>
              <xdr:sp macro="" textlink="">
                <xdr:nvSpPr>
                  <xdr:cNvPr id="3" name="Rectangle: Rounded Corners 2">
                    <a:extLst>
                      <a:ext uri="{FF2B5EF4-FFF2-40B4-BE49-F238E27FC236}">
                        <a16:creationId xmlns:a16="http://schemas.microsoft.com/office/drawing/2014/main" id="{CF93B175-23B3-5D40-9235-436B677F622D}"/>
                      </a:ext>
                    </a:extLst>
                  </xdr:cNvPr>
                  <xdr:cNvSpPr/>
                </xdr:nvSpPr>
                <xdr:spPr>
                  <a:xfrm>
                    <a:off x="10983382" y="19050"/>
                    <a:ext cx="8959849" cy="1430867"/>
                  </a:xfrm>
                  <a:prstGeom prst="roundRect">
                    <a:avLst/>
                  </a:prstGeom>
                  <a:solidFill>
                    <a:schemeClr val="tx1">
                      <a:lumMod val="85000"/>
                      <a:lumOff val="15000"/>
                    </a:schemeClr>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D" sz="1600">
                      <a:latin typeface="Artifakt Element Black" panose="020B0A03050000020004" pitchFamily="34" charset="0"/>
                      <a:ea typeface="Artifakt Element Black" panose="020B0A03050000020004" pitchFamily="34" charset="0"/>
                    </a:endParaRPr>
                  </a:p>
                </xdr:txBody>
              </xdr:sp>
              <xdr:grpSp>
                <xdr:nvGrpSpPr>
                  <xdr:cNvPr id="8" name="Group 7">
                    <a:extLst>
                      <a:ext uri="{FF2B5EF4-FFF2-40B4-BE49-F238E27FC236}">
                        <a16:creationId xmlns:a16="http://schemas.microsoft.com/office/drawing/2014/main" id="{3DD0D9D8-644F-714B-5139-CFEFE1E671F5}"/>
                      </a:ext>
                    </a:extLst>
                  </xdr:cNvPr>
                  <xdr:cNvGrpSpPr/>
                </xdr:nvGrpSpPr>
                <xdr:grpSpPr>
                  <a:xfrm>
                    <a:off x="11089646" y="134176"/>
                    <a:ext cx="7525390" cy="1681924"/>
                    <a:chOff x="9817977" y="133633"/>
                    <a:chExt cx="7499998" cy="1695168"/>
                  </a:xfrm>
                </xdr:grpSpPr>
                <xdr:sp macro="" textlink="">
                  <xdr:nvSpPr>
                    <xdr:cNvPr id="6" name="Rectangle: Top Corners One Rounded and One Snipped 5">
                      <a:extLst>
                        <a:ext uri="{FF2B5EF4-FFF2-40B4-BE49-F238E27FC236}">
                          <a16:creationId xmlns:a16="http://schemas.microsoft.com/office/drawing/2014/main" id="{7310372F-E55A-F5BF-5087-0CD723CE4E9A}"/>
                        </a:ext>
                      </a:extLst>
                    </xdr:cNvPr>
                    <xdr:cNvSpPr/>
                  </xdr:nvSpPr>
                  <xdr:spPr>
                    <a:xfrm>
                      <a:off x="9817977" y="1007957"/>
                      <a:ext cx="1371600" cy="820844"/>
                    </a:xfrm>
                    <a:prstGeom prst="snip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D" sz="1100">
                          <a:latin typeface="Arial Black" panose="020B0A04020102020204" pitchFamily="34" charset="0"/>
                        </a:rPr>
                        <a:t>NILAI SP</a:t>
                      </a:r>
                    </a:p>
                  </xdr:txBody>
                </xdr:sp>
                <xdr:sp macro="" textlink="PV!A4">
                  <xdr:nvSpPr>
                    <xdr:cNvPr id="7" name="TextBox 6">
                      <a:extLst>
                        <a:ext uri="{FF2B5EF4-FFF2-40B4-BE49-F238E27FC236}">
                          <a16:creationId xmlns:a16="http://schemas.microsoft.com/office/drawing/2014/main" id="{F8BDD799-BF2B-5A7F-6531-6510BDB7FA47}"/>
                        </a:ext>
                      </a:extLst>
                    </xdr:cNvPr>
                    <xdr:cNvSpPr txBox="1"/>
                  </xdr:nvSpPr>
                  <xdr:spPr>
                    <a:xfrm>
                      <a:off x="9905757" y="1479550"/>
                      <a:ext cx="1320800" cy="29123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47789726-DEDC-4231-B137-74F7DA268A93}" type="TxLink">
                        <a:rPr lang="en-US" sz="1100" b="0" i="0" u="none" strike="noStrike">
                          <a:solidFill>
                            <a:srgbClr val="000000"/>
                          </a:solidFill>
                          <a:latin typeface="Arial Black" panose="020B0A04020102020204" pitchFamily="34" charset="0"/>
                          <a:ea typeface="Calibri"/>
                          <a:cs typeface="Calibri"/>
                        </a:rPr>
                        <a:pPr/>
                        <a:t>Rp759.615.840</a:t>
                      </a:fld>
                      <a:endParaRPr lang="en-ID" sz="1100">
                        <a:latin typeface="Arial Black" panose="020B0A04020102020204" pitchFamily="34" charset="0"/>
                      </a:endParaRPr>
                    </a:p>
                  </xdr:txBody>
                </xdr:sp>
                <xdr:sp macro="" textlink="PV!A4">
                  <xdr:nvSpPr>
                    <xdr:cNvPr id="25" name="TextBox 24">
                      <a:extLst>
                        <a:ext uri="{FF2B5EF4-FFF2-40B4-BE49-F238E27FC236}">
                          <a16:creationId xmlns:a16="http://schemas.microsoft.com/office/drawing/2014/main" id="{67C255FE-E1D0-8D25-9E80-18E1D6F14CA6}"/>
                        </a:ext>
                      </a:extLst>
                    </xdr:cNvPr>
                    <xdr:cNvSpPr txBox="1"/>
                  </xdr:nvSpPr>
                  <xdr:spPr>
                    <a:xfrm>
                      <a:off x="10930319" y="133633"/>
                      <a:ext cx="6387656" cy="9045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ID" sz="1400">
                          <a:solidFill>
                            <a:schemeClr val="bg1"/>
                          </a:solidFill>
                          <a:latin typeface="Arial Black" panose="020B0A04020102020204" pitchFamily="34" charset="0"/>
                        </a:rPr>
                        <a:t>DASHBOARD</a:t>
                      </a:r>
                      <a:r>
                        <a:rPr lang="en-ID" sz="1400" baseline="0">
                          <a:solidFill>
                            <a:schemeClr val="bg1"/>
                          </a:solidFill>
                          <a:latin typeface="Arial Black" panose="020B0A04020102020204" pitchFamily="34" charset="0"/>
                        </a:rPr>
                        <a:t> PEKERJAAN SULSEL PT. PRIMA ANUGERAH SANTOSO PERIODE JANUARI - SEPTEMBER 2026</a:t>
                      </a:r>
                      <a:endParaRPr lang="en-ID" sz="1400">
                        <a:solidFill>
                          <a:schemeClr val="bg1"/>
                        </a:solidFill>
                        <a:latin typeface="Arial Black" panose="020B0A04020102020204" pitchFamily="34" charset="0"/>
                      </a:endParaRPr>
                    </a:p>
                  </xdr:txBody>
                </xdr:sp>
              </xdr:grpSp>
              <xdr:grpSp>
                <xdr:nvGrpSpPr>
                  <xdr:cNvPr id="9" name="Group 8">
                    <a:extLst>
                      <a:ext uri="{FF2B5EF4-FFF2-40B4-BE49-F238E27FC236}">
                        <a16:creationId xmlns:a16="http://schemas.microsoft.com/office/drawing/2014/main" id="{71867BFC-EDE1-040E-1109-F29D523E4D84}"/>
                      </a:ext>
                    </a:extLst>
                  </xdr:cNvPr>
                  <xdr:cNvGrpSpPr/>
                </xdr:nvGrpSpPr>
                <xdr:grpSpPr>
                  <a:xfrm>
                    <a:off x="12584754" y="1001670"/>
                    <a:ext cx="1377949" cy="838369"/>
                    <a:chOff x="9669289" y="994908"/>
                    <a:chExt cx="1371599" cy="851761"/>
                  </a:xfrm>
                </xdr:grpSpPr>
                <xdr:sp macro="" textlink="">
                  <xdr:nvSpPr>
                    <xdr:cNvPr id="10" name="Rectangle: Top Corners One Rounded and One Snipped 9">
                      <a:extLst>
                        <a:ext uri="{FF2B5EF4-FFF2-40B4-BE49-F238E27FC236}">
                          <a16:creationId xmlns:a16="http://schemas.microsoft.com/office/drawing/2014/main" id="{18E7931B-CAE8-59E4-081A-260B5D3A992B}"/>
                        </a:ext>
                      </a:extLst>
                    </xdr:cNvPr>
                    <xdr:cNvSpPr/>
                  </xdr:nvSpPr>
                  <xdr:spPr>
                    <a:xfrm>
                      <a:off x="9669289" y="994908"/>
                      <a:ext cx="1371599" cy="851761"/>
                    </a:xfrm>
                    <a:prstGeom prst="snip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D" sz="1100">
                          <a:latin typeface="Arial Black" panose="020B0A04020102020204" pitchFamily="34" charset="0"/>
                        </a:rPr>
                        <a:t>TOTAL SP</a:t>
                      </a:r>
                    </a:p>
                  </xdr:txBody>
                </xdr:sp>
                <xdr:sp macro="" textlink="PV!A10">
                  <xdr:nvSpPr>
                    <xdr:cNvPr id="11" name="TextBox 10">
                      <a:extLst>
                        <a:ext uri="{FF2B5EF4-FFF2-40B4-BE49-F238E27FC236}">
                          <a16:creationId xmlns:a16="http://schemas.microsoft.com/office/drawing/2014/main" id="{319B370B-775B-5ECE-8D07-C5911573C0A3}"/>
                        </a:ext>
                      </a:extLst>
                    </xdr:cNvPr>
                    <xdr:cNvSpPr txBox="1"/>
                  </xdr:nvSpPr>
                  <xdr:spPr>
                    <a:xfrm>
                      <a:off x="10252309" y="1503768"/>
                      <a:ext cx="254087" cy="2868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94A33CEE-6A04-441B-9616-C7BB50FC480C}" type="TxLink">
                        <a:rPr lang="en-US" sz="1100" b="0" i="0" u="none" strike="noStrike">
                          <a:solidFill>
                            <a:srgbClr val="000000"/>
                          </a:solidFill>
                          <a:latin typeface="Arial Black" panose="020B0A04020102020204" pitchFamily="34" charset="0"/>
                          <a:ea typeface="Calibri"/>
                          <a:cs typeface="Calibri"/>
                        </a:rPr>
                        <a:pPr/>
                        <a:t>8</a:t>
                      </a:fld>
                      <a:endParaRPr lang="en-ID" sz="1100">
                        <a:latin typeface="Arial Black" panose="020B0A04020102020204" pitchFamily="34" charset="0"/>
                      </a:endParaRPr>
                    </a:p>
                  </xdr:txBody>
                </xdr:sp>
              </xdr:grpSp>
              <xdr:grpSp>
                <xdr:nvGrpSpPr>
                  <xdr:cNvPr id="15" name="Group 14">
                    <a:extLst>
                      <a:ext uri="{FF2B5EF4-FFF2-40B4-BE49-F238E27FC236}">
                        <a16:creationId xmlns:a16="http://schemas.microsoft.com/office/drawing/2014/main" id="{18424604-D994-30B8-FBA4-A8E690DE460C}"/>
                      </a:ext>
                    </a:extLst>
                  </xdr:cNvPr>
                  <xdr:cNvGrpSpPr/>
                </xdr:nvGrpSpPr>
                <xdr:grpSpPr>
                  <a:xfrm>
                    <a:off x="13288432" y="1010464"/>
                    <a:ext cx="2196901" cy="1452508"/>
                    <a:chOff x="8705850" y="1012351"/>
                    <a:chExt cx="2186288" cy="1454840"/>
                  </a:xfrm>
                </xdr:grpSpPr>
                <xdr:sp macro="" textlink="">
                  <xdr:nvSpPr>
                    <xdr:cNvPr id="16" name="Rectangle: Top Corners One Rounded and One Snipped 15">
                      <a:extLst>
                        <a:ext uri="{FF2B5EF4-FFF2-40B4-BE49-F238E27FC236}">
                          <a16:creationId xmlns:a16="http://schemas.microsoft.com/office/drawing/2014/main" id="{FC99F270-5280-50D7-FCB6-067FD039419E}"/>
                        </a:ext>
                      </a:extLst>
                    </xdr:cNvPr>
                    <xdr:cNvSpPr/>
                  </xdr:nvSpPr>
                  <xdr:spPr>
                    <a:xfrm>
                      <a:off x="9520538" y="1012351"/>
                      <a:ext cx="1371600" cy="825257"/>
                    </a:xfrm>
                    <a:prstGeom prst="snip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D" sz="1100">
                          <a:latin typeface="Arial Black" panose="020B0A04020102020204" pitchFamily="34" charset="0"/>
                        </a:rPr>
                        <a:t>TOTAL LOP</a:t>
                      </a:r>
                    </a:p>
                  </xdr:txBody>
                </xdr:sp>
                <xdr:sp macro="" textlink="PV!A7">
                  <xdr:nvSpPr>
                    <xdr:cNvPr id="17" name="TextBox 16">
                      <a:extLst>
                        <a:ext uri="{FF2B5EF4-FFF2-40B4-BE49-F238E27FC236}">
                          <a16:creationId xmlns:a16="http://schemas.microsoft.com/office/drawing/2014/main" id="{75643C3C-0EF3-101D-45E2-9B7078312CB4}"/>
                        </a:ext>
                      </a:extLst>
                    </xdr:cNvPr>
                    <xdr:cNvSpPr txBox="1"/>
                  </xdr:nvSpPr>
                  <xdr:spPr>
                    <a:xfrm>
                      <a:off x="10028537" y="1494708"/>
                      <a:ext cx="339758" cy="28279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1A3A5350-5F63-45A0-B6E5-728D191DC07C}" type="TxLink">
                        <a:rPr lang="en-US" sz="1100" b="0" i="0" u="none" strike="noStrike">
                          <a:solidFill>
                            <a:srgbClr val="000000"/>
                          </a:solidFill>
                          <a:latin typeface="Arial Black" panose="020B0A04020102020204" pitchFamily="34" charset="0"/>
                          <a:ea typeface="Calibri"/>
                          <a:cs typeface="Calibri"/>
                        </a:rPr>
                        <a:pPr/>
                        <a:t>28</a:t>
                      </a:fld>
                      <a:endParaRPr lang="en-ID" sz="1100">
                        <a:latin typeface="Arial Black" panose="020B0A04020102020204" pitchFamily="34" charset="0"/>
                      </a:endParaRPr>
                    </a:p>
                  </xdr:txBody>
                </xdr:sp>
                <xdr:sp macro="" textlink="PV!A7">
                  <xdr:nvSpPr>
                    <xdr:cNvPr id="36" name="TextBox 35">
                      <a:extLst>
                        <a:ext uri="{FF2B5EF4-FFF2-40B4-BE49-F238E27FC236}">
                          <a16:creationId xmlns:a16="http://schemas.microsoft.com/office/drawing/2014/main" id="{5E96276B-79D2-5782-08A0-842D8CF97546}"/>
                        </a:ext>
                      </a:extLst>
                    </xdr:cNvPr>
                    <xdr:cNvSpPr txBox="1"/>
                  </xdr:nvSpPr>
                  <xdr:spPr>
                    <a:xfrm>
                      <a:off x="8705850" y="2184400"/>
                      <a:ext cx="298618" cy="28279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320BBB2C-2386-4DD0-915C-150464EF430F}" type="TxLink">
                        <a:rPr lang="en-US" sz="1100" b="0" i="0" u="none" strike="noStrike">
                          <a:solidFill>
                            <a:srgbClr val="000000"/>
                          </a:solidFill>
                          <a:latin typeface="Calibri"/>
                          <a:ea typeface="Calibri"/>
                          <a:cs typeface="Calibri"/>
                        </a:rPr>
                        <a:pPr/>
                        <a:t>28</a:t>
                      </a:fld>
                      <a:endParaRPr lang="en-ID" sz="1100">
                        <a:latin typeface="Arial Black" panose="020B0A04020102020204" pitchFamily="34" charset="0"/>
                      </a:endParaRPr>
                    </a:p>
                  </xdr:txBody>
                </xdr:sp>
              </xdr:grpSp>
              <xdr:grpSp>
                <xdr:nvGrpSpPr>
                  <xdr:cNvPr id="18" name="Group 17">
                    <a:extLst>
                      <a:ext uri="{FF2B5EF4-FFF2-40B4-BE49-F238E27FC236}">
                        <a16:creationId xmlns:a16="http://schemas.microsoft.com/office/drawing/2014/main" id="{ACAC5B43-BE87-656C-8CEE-DFA70D43A0D5}"/>
                      </a:ext>
                    </a:extLst>
                  </xdr:cNvPr>
                  <xdr:cNvGrpSpPr/>
                </xdr:nvGrpSpPr>
                <xdr:grpSpPr>
                  <a:xfrm>
                    <a:off x="15614081" y="1045642"/>
                    <a:ext cx="1490137" cy="801728"/>
                    <a:chOff x="9428551" y="1058938"/>
                    <a:chExt cx="1485904" cy="814535"/>
                  </a:xfrm>
                </xdr:grpSpPr>
                <xdr:sp macro="" textlink="">
                  <xdr:nvSpPr>
                    <xdr:cNvPr id="19" name="Rectangle: Top Corners One Rounded and One Snipped 18">
                      <a:extLst>
                        <a:ext uri="{FF2B5EF4-FFF2-40B4-BE49-F238E27FC236}">
                          <a16:creationId xmlns:a16="http://schemas.microsoft.com/office/drawing/2014/main" id="{08284A23-B23B-F01D-ECAF-743784BDD603}"/>
                        </a:ext>
                      </a:extLst>
                    </xdr:cNvPr>
                    <xdr:cNvSpPr/>
                  </xdr:nvSpPr>
                  <xdr:spPr>
                    <a:xfrm>
                      <a:off x="9428551" y="1058938"/>
                      <a:ext cx="1371600" cy="814535"/>
                    </a:xfrm>
                    <a:prstGeom prst="snip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D" sz="1100">
                          <a:latin typeface="Arial Black" panose="020B0A04020102020204" pitchFamily="34" charset="0"/>
                        </a:rPr>
                        <a:t>KAS KELUAR</a:t>
                      </a:r>
                    </a:p>
                  </xdr:txBody>
                </xdr:sp>
                <xdr:sp macro="" textlink="PV!B15">
                  <xdr:nvSpPr>
                    <xdr:cNvPr id="20" name="TextBox 19">
                      <a:extLst>
                        <a:ext uri="{FF2B5EF4-FFF2-40B4-BE49-F238E27FC236}">
                          <a16:creationId xmlns:a16="http://schemas.microsoft.com/office/drawing/2014/main" id="{2688F48A-33D3-51AD-F807-0C5B77F840ED}"/>
                        </a:ext>
                      </a:extLst>
                    </xdr:cNvPr>
                    <xdr:cNvSpPr txBox="1"/>
                  </xdr:nvSpPr>
                  <xdr:spPr>
                    <a:xfrm>
                      <a:off x="9473005" y="1530575"/>
                      <a:ext cx="1441450" cy="29123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5A807506-A734-4222-99EC-A8D65AC4D7C2}" type="TxLink">
                        <a:rPr lang="en-US" sz="1100" b="0" i="0" u="none" strike="noStrike">
                          <a:solidFill>
                            <a:srgbClr val="000000"/>
                          </a:solidFill>
                          <a:latin typeface="Arial Black" panose="020B0A04020102020204" pitchFamily="34" charset="0"/>
                          <a:ea typeface="Calibri"/>
                          <a:cs typeface="Calibri"/>
                        </a:rPr>
                        <a:pPr/>
                        <a:t>Rp381.736.400</a:t>
                      </a:fld>
                      <a:endParaRPr lang="en-ID" sz="1100">
                        <a:latin typeface="Arial Black" panose="020B0A04020102020204" pitchFamily="34" charset="0"/>
                      </a:endParaRPr>
                    </a:p>
                  </xdr:txBody>
                </xdr:sp>
              </xdr:grpSp>
              <xdr:grpSp>
                <xdr:nvGrpSpPr>
                  <xdr:cNvPr id="21" name="Group 20">
                    <a:extLst>
                      <a:ext uri="{FF2B5EF4-FFF2-40B4-BE49-F238E27FC236}">
                        <a16:creationId xmlns:a16="http://schemas.microsoft.com/office/drawing/2014/main" id="{915A7893-12D8-E2BB-8213-C0B6070C8E05}"/>
                      </a:ext>
                    </a:extLst>
                  </xdr:cNvPr>
                  <xdr:cNvGrpSpPr/>
                </xdr:nvGrpSpPr>
                <xdr:grpSpPr>
                  <a:xfrm>
                    <a:off x="17060181" y="1019258"/>
                    <a:ext cx="3005718" cy="849443"/>
                    <a:chOff x="9292557" y="1057939"/>
                    <a:chExt cx="3013001" cy="863013"/>
                  </a:xfrm>
                </xdr:grpSpPr>
                <xdr:sp macro="" textlink="">
                  <xdr:nvSpPr>
                    <xdr:cNvPr id="22" name="Rectangle: Top Corners One Rounded and One Snipped 21">
                      <a:extLst>
                        <a:ext uri="{FF2B5EF4-FFF2-40B4-BE49-F238E27FC236}">
                          <a16:creationId xmlns:a16="http://schemas.microsoft.com/office/drawing/2014/main" id="{5A3FB9F3-3D75-6E38-D337-D9E64DAC105D}"/>
                        </a:ext>
                      </a:extLst>
                    </xdr:cNvPr>
                    <xdr:cNvSpPr/>
                  </xdr:nvSpPr>
                  <xdr:spPr>
                    <a:xfrm>
                      <a:off x="10733263" y="1093680"/>
                      <a:ext cx="1371600" cy="813068"/>
                    </a:xfrm>
                    <a:prstGeom prst="snip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D" sz="1100">
                          <a:latin typeface="Arial Black" panose="020B0A04020102020204" pitchFamily="34" charset="0"/>
                        </a:rPr>
                        <a:t>BAST</a:t>
                      </a:r>
                    </a:p>
                  </xdr:txBody>
                </xdr:sp>
                <xdr:sp macro="" textlink="PV!B18">
                  <xdr:nvSpPr>
                    <xdr:cNvPr id="23" name="TextBox 22">
                      <a:extLst>
                        <a:ext uri="{FF2B5EF4-FFF2-40B4-BE49-F238E27FC236}">
                          <a16:creationId xmlns:a16="http://schemas.microsoft.com/office/drawing/2014/main" id="{039EF97D-549B-07E0-E39D-744F2434097F}"/>
                        </a:ext>
                      </a:extLst>
                    </xdr:cNvPr>
                    <xdr:cNvSpPr txBox="1"/>
                  </xdr:nvSpPr>
                  <xdr:spPr>
                    <a:xfrm>
                      <a:off x="10864108" y="1530573"/>
                      <a:ext cx="1441450" cy="30698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18F66172-98A7-4E27-9981-2CBA2A748B81}" type="TxLink">
                        <a:rPr lang="en-US" sz="1100" b="0" i="0" u="none" strike="noStrike">
                          <a:solidFill>
                            <a:schemeClr val="tx1"/>
                          </a:solidFill>
                          <a:latin typeface="Arial Black" panose="020B0A04020102020204" pitchFamily="34" charset="0"/>
                          <a:ea typeface="Calibri"/>
                          <a:cs typeface="Calibri"/>
                        </a:rPr>
                        <a:pPr/>
                        <a:t>Rp75.946.550</a:t>
                      </a:fld>
                      <a:endParaRPr lang="en-ID" sz="1100">
                        <a:solidFill>
                          <a:schemeClr val="tx1"/>
                        </a:solidFill>
                        <a:latin typeface="Arial Black" panose="020B0A04020102020204" pitchFamily="34" charset="0"/>
                      </a:endParaRPr>
                    </a:p>
                  </xdr:txBody>
                </xdr:sp>
                <xdr:sp macro="" textlink="">
                  <xdr:nvSpPr>
                    <xdr:cNvPr id="103" name="Rectangle: Top Corners One Rounded and One Snipped 102">
                      <a:extLst>
                        <a:ext uri="{FF2B5EF4-FFF2-40B4-BE49-F238E27FC236}">
                          <a16:creationId xmlns:a16="http://schemas.microsoft.com/office/drawing/2014/main" id="{42C87DB8-F7B1-2A1D-90D4-F4810BDF3669}"/>
                        </a:ext>
                      </a:extLst>
                    </xdr:cNvPr>
                    <xdr:cNvSpPr/>
                  </xdr:nvSpPr>
                  <xdr:spPr>
                    <a:xfrm>
                      <a:off x="9292557" y="1057939"/>
                      <a:ext cx="1371600" cy="842342"/>
                    </a:xfrm>
                    <a:prstGeom prst="snip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D" sz="1100">
                          <a:latin typeface="Arial Black" panose="020B0A04020102020204" pitchFamily="34" charset="0"/>
                        </a:rPr>
                        <a:t>PRESENTASI</a:t>
                      </a:r>
                      <a:r>
                        <a:rPr lang="en-ID" sz="1100" baseline="0">
                          <a:latin typeface="Arial Black" panose="020B0A04020102020204" pitchFamily="34" charset="0"/>
                        </a:rPr>
                        <a:t> PENCAPAIAN</a:t>
                      </a:r>
                      <a:endParaRPr lang="en-ID" sz="1100">
                        <a:latin typeface="Arial Black" panose="020B0A04020102020204" pitchFamily="34" charset="0"/>
                      </a:endParaRPr>
                    </a:p>
                  </xdr:txBody>
                </xdr:sp>
                <xdr:sp macro="" textlink="PV!B21">
                  <xdr:nvSpPr>
                    <xdr:cNvPr id="104" name="TextBox 103">
                      <a:extLst>
                        <a:ext uri="{FF2B5EF4-FFF2-40B4-BE49-F238E27FC236}">
                          <a16:creationId xmlns:a16="http://schemas.microsoft.com/office/drawing/2014/main" id="{EFCF1032-35A0-71D9-2ADB-E3A4058533F7}"/>
                        </a:ext>
                      </a:extLst>
                    </xdr:cNvPr>
                    <xdr:cNvSpPr txBox="1"/>
                  </xdr:nvSpPr>
                  <xdr:spPr>
                    <a:xfrm>
                      <a:off x="9553994" y="1556724"/>
                      <a:ext cx="998612" cy="36422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82955499-4482-42F3-A481-8FD0666E512F}" type="TxLink">
                        <a:rPr lang="en-US" sz="1400" b="1" i="0" u="none" strike="noStrike">
                          <a:solidFill>
                            <a:srgbClr val="000000"/>
                          </a:solidFill>
                          <a:latin typeface="Arial Black" panose="020B0A04020102020204" pitchFamily="34" charset="0"/>
                          <a:ea typeface="Calibri"/>
                          <a:cs typeface="Calibri"/>
                        </a:rPr>
                        <a:t>10,00%</a:t>
                      </a:fld>
                      <a:endParaRPr lang="en-ID" sz="1400" b="1">
                        <a:solidFill>
                          <a:srgbClr val="FF0000"/>
                        </a:solidFill>
                        <a:latin typeface="Arial Black" panose="020B0A04020102020204" pitchFamily="34" charset="0"/>
                      </a:endParaRPr>
                    </a:p>
                  </xdr:txBody>
                </xdr:sp>
              </xdr:grpSp>
              <xdr:pic>
                <xdr:nvPicPr>
                  <xdr:cNvPr id="27" name="Graphic 26" descr="Books">
                    <a:extLst>
                      <a:ext uri="{FF2B5EF4-FFF2-40B4-BE49-F238E27FC236}">
                        <a16:creationId xmlns:a16="http://schemas.microsoft.com/office/drawing/2014/main" id="{78BF29E3-B27F-4144-73BB-D9A9ED740C6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1400367" y="151653"/>
                    <a:ext cx="704850" cy="702733"/>
                  </a:xfrm>
                  <a:prstGeom prst="rect">
                    <a:avLst/>
                  </a:prstGeom>
                </xdr:spPr>
              </xdr:pic>
            </xdr:grpSp>
            <xdr:grpSp>
              <xdr:nvGrpSpPr>
                <xdr:cNvPr id="64" name="Group 63">
                  <a:extLst>
                    <a:ext uri="{FF2B5EF4-FFF2-40B4-BE49-F238E27FC236}">
                      <a16:creationId xmlns:a16="http://schemas.microsoft.com/office/drawing/2014/main" id="{7297D257-5278-301B-C600-893826D7ADDC}"/>
                    </a:ext>
                  </a:extLst>
                </xdr:cNvPr>
                <xdr:cNvGrpSpPr/>
              </xdr:nvGrpSpPr>
              <xdr:grpSpPr>
                <a:xfrm>
                  <a:off x="15144750" y="2010833"/>
                  <a:ext cx="3958167" cy="2482850"/>
                  <a:chOff x="15113000" y="1979083"/>
                  <a:chExt cx="3958167" cy="2482850"/>
                </a:xfrm>
              </xdr:grpSpPr>
              <xdr:sp macro="" textlink="">
                <xdr:nvSpPr>
                  <xdr:cNvPr id="30" name="Rectangle: Rounded Corners 29">
                    <a:extLst>
                      <a:ext uri="{FF2B5EF4-FFF2-40B4-BE49-F238E27FC236}">
                        <a16:creationId xmlns:a16="http://schemas.microsoft.com/office/drawing/2014/main" id="{13474EDB-4872-4AD8-98A6-FF06AF31ED65}"/>
                      </a:ext>
                    </a:extLst>
                  </xdr:cNvPr>
                  <xdr:cNvSpPr/>
                </xdr:nvSpPr>
                <xdr:spPr>
                  <a:xfrm>
                    <a:off x="15113000" y="1979083"/>
                    <a:ext cx="3958167" cy="2482850"/>
                  </a:xfrm>
                  <a:prstGeom prst="round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D" sz="1100"/>
                  </a:p>
                </xdr:txBody>
              </xdr:sp>
              <xdr:sp macro="" textlink="">
                <xdr:nvSpPr>
                  <xdr:cNvPr id="2" name="TextBox 1">
                    <a:extLst>
                      <a:ext uri="{FF2B5EF4-FFF2-40B4-BE49-F238E27FC236}">
                        <a16:creationId xmlns:a16="http://schemas.microsoft.com/office/drawing/2014/main" id="{09024CA1-776E-E58C-9B90-8F6019CD6883}"/>
                      </a:ext>
                    </a:extLst>
                  </xdr:cNvPr>
                  <xdr:cNvSpPr txBox="1"/>
                </xdr:nvSpPr>
                <xdr:spPr>
                  <a:xfrm>
                    <a:off x="15898283" y="2072217"/>
                    <a:ext cx="2295032" cy="279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D" sz="1100">
                        <a:latin typeface="Arial Black" panose="020B0A04020102020204" pitchFamily="34" charset="0"/>
                      </a:rPr>
                      <a:t>TREND DISTRIBUSI ORDER</a:t>
                    </a:r>
                  </a:p>
                </xdr:txBody>
              </xdr:sp>
              <xdr:pic>
                <xdr:nvPicPr>
                  <xdr:cNvPr id="5" name="Graphic 4" descr="Presentation with bar chart">
                    <a:extLst>
                      <a:ext uri="{FF2B5EF4-FFF2-40B4-BE49-F238E27FC236}">
                        <a16:creationId xmlns:a16="http://schemas.microsoft.com/office/drawing/2014/main" id="{F3F16843-57C1-0FE5-360D-6784AF7808A1}"/>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5278100" y="1985433"/>
                    <a:ext cx="613833" cy="569384"/>
                  </a:xfrm>
                  <a:prstGeom prst="rect">
                    <a:avLst/>
                  </a:prstGeom>
                </xdr:spPr>
              </xdr:pic>
              <xdr:graphicFrame macro="">
                <xdr:nvGraphicFramePr>
                  <xdr:cNvPr id="13" name="Chart 12">
                    <a:extLst>
                      <a:ext uri="{FF2B5EF4-FFF2-40B4-BE49-F238E27FC236}">
                        <a16:creationId xmlns:a16="http://schemas.microsoft.com/office/drawing/2014/main" id="{BC7470EC-3E5C-4787-BF19-ADCF7404B4D1}"/>
                      </a:ext>
                    </a:extLst>
                  </xdr:cNvPr>
                  <xdr:cNvGraphicFramePr>
                    <a:graphicFrameLocks/>
                  </xdr:cNvGraphicFramePr>
                </xdr:nvGraphicFramePr>
                <xdr:xfrm>
                  <a:off x="15290800" y="2561167"/>
                  <a:ext cx="3564467" cy="1695450"/>
                </xdr:xfrm>
                <a:graphic>
                  <a:graphicData uri="http://schemas.openxmlformats.org/drawingml/2006/chart">
                    <c:chart xmlns:c="http://schemas.openxmlformats.org/drawingml/2006/chart" xmlns:r="http://schemas.openxmlformats.org/officeDocument/2006/relationships" r:id="rId5"/>
                  </a:graphicData>
                </a:graphic>
              </xdr:graphicFrame>
            </xdr:grpSp>
            <xdr:grpSp>
              <xdr:nvGrpSpPr>
                <xdr:cNvPr id="63" name="Group 62">
                  <a:extLst>
                    <a:ext uri="{FF2B5EF4-FFF2-40B4-BE49-F238E27FC236}">
                      <a16:creationId xmlns:a16="http://schemas.microsoft.com/office/drawing/2014/main" id="{57481FF3-97C5-4997-1ACB-393FCCA6D7B5}"/>
                    </a:ext>
                  </a:extLst>
                </xdr:cNvPr>
                <xdr:cNvGrpSpPr/>
              </xdr:nvGrpSpPr>
              <xdr:grpSpPr>
                <a:xfrm>
                  <a:off x="10996083" y="1991783"/>
                  <a:ext cx="3964517" cy="2482850"/>
                  <a:chOff x="10996083" y="1991783"/>
                  <a:chExt cx="3964517" cy="2482850"/>
                </a:xfrm>
              </xdr:grpSpPr>
              <xdr:sp macro="" textlink="">
                <xdr:nvSpPr>
                  <xdr:cNvPr id="29" name="Rectangle: Rounded Corners 28">
                    <a:extLst>
                      <a:ext uri="{FF2B5EF4-FFF2-40B4-BE49-F238E27FC236}">
                        <a16:creationId xmlns:a16="http://schemas.microsoft.com/office/drawing/2014/main" id="{91C4DDE0-289C-0A8A-9427-572A479813D0}"/>
                      </a:ext>
                    </a:extLst>
                  </xdr:cNvPr>
                  <xdr:cNvSpPr/>
                </xdr:nvSpPr>
                <xdr:spPr>
                  <a:xfrm>
                    <a:off x="10996083" y="1991783"/>
                    <a:ext cx="3964517" cy="2482850"/>
                  </a:xfrm>
                  <a:prstGeom prst="round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D" sz="1100"/>
                  </a:p>
                </xdr:txBody>
              </xdr:sp>
              <xdr:graphicFrame macro="">
                <xdr:nvGraphicFramePr>
                  <xdr:cNvPr id="35" name="Chart 34">
                    <a:extLst>
                      <a:ext uri="{FF2B5EF4-FFF2-40B4-BE49-F238E27FC236}">
                        <a16:creationId xmlns:a16="http://schemas.microsoft.com/office/drawing/2014/main" id="{BD094646-A04C-4F9C-9AF6-1D6BC8D3B1AE}"/>
                      </a:ext>
                    </a:extLst>
                  </xdr:cNvPr>
                  <xdr:cNvGraphicFramePr>
                    <a:graphicFrameLocks/>
                  </xdr:cNvGraphicFramePr>
                </xdr:nvGraphicFramePr>
                <xdr:xfrm>
                  <a:off x="11521017" y="2484967"/>
                  <a:ext cx="3187382" cy="1765300"/>
                </xdr:xfrm>
                <a:graphic>
                  <a:graphicData uri="http://schemas.openxmlformats.org/drawingml/2006/chart">
                    <c:chart xmlns:c="http://schemas.openxmlformats.org/drawingml/2006/chart" xmlns:r="http://schemas.openxmlformats.org/officeDocument/2006/relationships" r:id="rId6"/>
                  </a:graphicData>
                </a:graphic>
              </xdr:graphicFrame>
              <xdr:sp macro="" textlink="">
                <xdr:nvSpPr>
                  <xdr:cNvPr id="12" name="TextBox 11">
                    <a:extLst>
                      <a:ext uri="{FF2B5EF4-FFF2-40B4-BE49-F238E27FC236}">
                        <a16:creationId xmlns:a16="http://schemas.microsoft.com/office/drawing/2014/main" id="{C888C588-B99E-C11B-DE9C-4584738B8BE5}"/>
                      </a:ext>
                    </a:extLst>
                  </xdr:cNvPr>
                  <xdr:cNvSpPr txBox="1"/>
                </xdr:nvSpPr>
                <xdr:spPr>
                  <a:xfrm>
                    <a:off x="11787717" y="2116667"/>
                    <a:ext cx="2570407" cy="279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D" sz="1100">
                        <a:latin typeface="Arial Black" panose="020B0A04020102020204" pitchFamily="34" charset="0"/>
                      </a:rPr>
                      <a:t>KOMPOSISI</a:t>
                    </a:r>
                    <a:r>
                      <a:rPr lang="en-ID" sz="1100" baseline="0">
                        <a:latin typeface="Arial Black" panose="020B0A04020102020204" pitchFamily="34" charset="0"/>
                      </a:rPr>
                      <a:t> UPDATE PROJECT</a:t>
                    </a:r>
                    <a:endParaRPr lang="en-ID" sz="1100">
                      <a:latin typeface="Arial Black" panose="020B0A04020102020204" pitchFamily="34" charset="0"/>
                    </a:endParaRPr>
                  </a:p>
                </xdr:txBody>
              </xdr:sp>
              <xdr:pic>
                <xdr:nvPicPr>
                  <xdr:cNvPr id="24" name="Graphic 23" descr="Pie chart">
                    <a:extLst>
                      <a:ext uri="{FF2B5EF4-FFF2-40B4-BE49-F238E27FC236}">
                        <a16:creationId xmlns:a16="http://schemas.microsoft.com/office/drawing/2014/main" id="{AE97BD81-A03D-91AE-6D49-4ED723C277E2}"/>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1260667" y="2010833"/>
                    <a:ext cx="482600" cy="486834"/>
                  </a:xfrm>
                  <a:prstGeom prst="rect">
                    <a:avLst/>
                  </a:prstGeom>
                </xdr:spPr>
              </xdr:pic>
            </xdr:grpSp>
            <xdr:grpSp>
              <xdr:nvGrpSpPr>
                <xdr:cNvPr id="55" name="Group 54">
                  <a:extLst>
                    <a:ext uri="{FF2B5EF4-FFF2-40B4-BE49-F238E27FC236}">
                      <a16:creationId xmlns:a16="http://schemas.microsoft.com/office/drawing/2014/main" id="{5DB638C1-1022-205C-0000-CFD3379AB812}"/>
                    </a:ext>
                  </a:extLst>
                </xdr:cNvPr>
                <xdr:cNvGrpSpPr/>
              </xdr:nvGrpSpPr>
              <xdr:grpSpPr>
                <a:xfrm>
                  <a:off x="15148983" y="4610100"/>
                  <a:ext cx="3958167" cy="2474383"/>
                  <a:chOff x="15170150" y="4610100"/>
                  <a:chExt cx="3958167" cy="2474383"/>
                </a:xfrm>
              </xdr:grpSpPr>
              <xdr:sp macro="" textlink="">
                <xdr:nvSpPr>
                  <xdr:cNvPr id="32" name="Rectangle: Rounded Corners 31">
                    <a:extLst>
                      <a:ext uri="{FF2B5EF4-FFF2-40B4-BE49-F238E27FC236}">
                        <a16:creationId xmlns:a16="http://schemas.microsoft.com/office/drawing/2014/main" id="{A8F6FA58-2039-4278-A367-CCD43DF71A61}"/>
                      </a:ext>
                    </a:extLst>
                  </xdr:cNvPr>
                  <xdr:cNvSpPr/>
                </xdr:nvSpPr>
                <xdr:spPr>
                  <a:xfrm>
                    <a:off x="15170150" y="4610100"/>
                    <a:ext cx="3958167" cy="2474383"/>
                  </a:xfrm>
                  <a:prstGeom prst="round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D" sz="1100"/>
                  </a:p>
                </xdr:txBody>
              </xdr:sp>
              <xdr:graphicFrame macro="">
                <xdr:nvGraphicFramePr>
                  <xdr:cNvPr id="44" name="Chart 43">
                    <a:extLst>
                      <a:ext uri="{FF2B5EF4-FFF2-40B4-BE49-F238E27FC236}">
                        <a16:creationId xmlns:a16="http://schemas.microsoft.com/office/drawing/2014/main" id="{8B4EB564-148D-47D4-A8FF-9771B6345B28}"/>
                      </a:ext>
                    </a:extLst>
                  </xdr:cNvPr>
                  <xdr:cNvGraphicFramePr>
                    <a:graphicFrameLocks/>
                  </xdr:cNvGraphicFramePr>
                </xdr:nvGraphicFramePr>
                <xdr:xfrm>
                  <a:off x="15479183" y="5080000"/>
                  <a:ext cx="3344334" cy="1689100"/>
                </xdr:xfrm>
                <a:graphic>
                  <a:graphicData uri="http://schemas.openxmlformats.org/drawingml/2006/chart">
                    <c:chart xmlns:c="http://schemas.openxmlformats.org/drawingml/2006/chart" xmlns:r="http://schemas.openxmlformats.org/officeDocument/2006/relationships" r:id="rId9"/>
                  </a:graphicData>
                </a:graphic>
              </xdr:graphicFrame>
              <xdr:pic>
                <xdr:nvPicPr>
                  <xdr:cNvPr id="48" name="Graphic 47" descr="Upward trend">
                    <a:extLst>
                      <a:ext uri="{FF2B5EF4-FFF2-40B4-BE49-F238E27FC236}">
                        <a16:creationId xmlns:a16="http://schemas.microsoft.com/office/drawing/2014/main" id="{1FF61CCF-4D91-B74B-585C-2C4F30AA82C8}"/>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15367000" y="4663017"/>
                    <a:ext cx="410633" cy="397933"/>
                  </a:xfrm>
                  <a:prstGeom prst="rect">
                    <a:avLst/>
                  </a:prstGeom>
                </xdr:spPr>
              </xdr:pic>
              <xdr:sp macro="" textlink="">
                <xdr:nvSpPr>
                  <xdr:cNvPr id="49" name="TextBox 48">
                    <a:extLst>
                      <a:ext uri="{FF2B5EF4-FFF2-40B4-BE49-F238E27FC236}">
                        <a16:creationId xmlns:a16="http://schemas.microsoft.com/office/drawing/2014/main" id="{CC9DD3A7-A3F6-AF55-6DE8-183E0AB77C08}"/>
                      </a:ext>
                    </a:extLst>
                  </xdr:cNvPr>
                  <xdr:cNvSpPr txBox="1"/>
                </xdr:nvSpPr>
                <xdr:spPr>
                  <a:xfrm>
                    <a:off x="15809383" y="4675717"/>
                    <a:ext cx="1971437" cy="29123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D" sz="1100">
                        <a:latin typeface="Arial Black" panose="020B0A04020102020204" pitchFamily="34" charset="0"/>
                      </a:rPr>
                      <a:t>TREND PENGELUARAN</a:t>
                    </a:r>
                  </a:p>
                </xdr:txBody>
              </xdr:sp>
            </xdr:grpSp>
            <xdr:grpSp>
              <xdr:nvGrpSpPr>
                <xdr:cNvPr id="62" name="Group 61">
                  <a:extLst>
                    <a:ext uri="{FF2B5EF4-FFF2-40B4-BE49-F238E27FC236}">
                      <a16:creationId xmlns:a16="http://schemas.microsoft.com/office/drawing/2014/main" id="{832BD235-75D8-A9B2-FCCC-820C29F28D79}"/>
                    </a:ext>
                  </a:extLst>
                </xdr:cNvPr>
                <xdr:cNvGrpSpPr/>
              </xdr:nvGrpSpPr>
              <xdr:grpSpPr>
                <a:xfrm>
                  <a:off x="10989733" y="4610100"/>
                  <a:ext cx="3964517" cy="2474383"/>
                  <a:chOff x="10989733" y="4610100"/>
                  <a:chExt cx="3964517" cy="2474383"/>
                </a:xfrm>
              </xdr:grpSpPr>
              <xdr:sp macro="" textlink="">
                <xdr:nvSpPr>
                  <xdr:cNvPr id="31" name="Rectangle: Rounded Corners 30">
                    <a:extLst>
                      <a:ext uri="{FF2B5EF4-FFF2-40B4-BE49-F238E27FC236}">
                        <a16:creationId xmlns:a16="http://schemas.microsoft.com/office/drawing/2014/main" id="{D642C269-7D67-4FDE-99C6-8EEF0F0B2250}"/>
                      </a:ext>
                    </a:extLst>
                  </xdr:cNvPr>
                  <xdr:cNvSpPr/>
                </xdr:nvSpPr>
                <xdr:spPr>
                  <a:xfrm>
                    <a:off x="10989733" y="4610100"/>
                    <a:ext cx="3964517" cy="2474383"/>
                  </a:xfrm>
                  <a:prstGeom prst="round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D" sz="1100"/>
                  </a:p>
                </xdr:txBody>
              </xdr:sp>
              <xdr:graphicFrame macro="">
                <xdr:nvGraphicFramePr>
                  <xdr:cNvPr id="58" name="Chart 57">
                    <a:extLst>
                      <a:ext uri="{FF2B5EF4-FFF2-40B4-BE49-F238E27FC236}">
                        <a16:creationId xmlns:a16="http://schemas.microsoft.com/office/drawing/2014/main" id="{AC460975-503A-E1C1-9673-E7D03A258247}"/>
                      </a:ext>
                    </a:extLst>
                  </xdr:cNvPr>
                  <xdr:cNvGraphicFramePr>
                    <a:graphicFrameLocks/>
                  </xdr:cNvGraphicFramePr>
                </xdr:nvGraphicFramePr>
                <xdr:xfrm>
                  <a:off x="11184467" y="5035550"/>
                  <a:ext cx="3611033" cy="1930400"/>
                </xdr:xfrm>
                <a:graphic>
                  <a:graphicData uri="http://schemas.openxmlformats.org/drawingml/2006/chart">
                    <c:chart xmlns:c="http://schemas.openxmlformats.org/drawingml/2006/chart" xmlns:r="http://schemas.openxmlformats.org/officeDocument/2006/relationships" r:id="rId12"/>
                  </a:graphicData>
                </a:graphic>
              </xdr:graphicFrame>
              <xdr:sp macro="" textlink="">
                <xdr:nvSpPr>
                  <xdr:cNvPr id="60" name="TextBox 59">
                    <a:extLst>
                      <a:ext uri="{FF2B5EF4-FFF2-40B4-BE49-F238E27FC236}">
                        <a16:creationId xmlns:a16="http://schemas.microsoft.com/office/drawing/2014/main" id="{5A2D5468-B9A8-C52C-71E7-C262F991F656}"/>
                      </a:ext>
                    </a:extLst>
                  </xdr:cNvPr>
                  <xdr:cNvSpPr txBox="1"/>
                </xdr:nvSpPr>
                <xdr:spPr>
                  <a:xfrm>
                    <a:off x="11628967" y="4804834"/>
                    <a:ext cx="2465419" cy="29123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D" sz="1100">
                        <a:latin typeface="Arial Black" panose="020B0A04020102020204" pitchFamily="34" charset="0"/>
                      </a:rPr>
                      <a:t>7 PROJECT</a:t>
                    </a:r>
                    <a:r>
                      <a:rPr lang="en-ID" sz="1100" baseline="0">
                        <a:latin typeface="Arial Black" panose="020B0A04020102020204" pitchFamily="34" charset="0"/>
                      </a:rPr>
                      <a:t> NILAI TERTINGGI</a:t>
                    </a:r>
                    <a:endParaRPr lang="en-ID" sz="1100">
                      <a:latin typeface="Arial Black" panose="020B0A04020102020204" pitchFamily="34" charset="0"/>
                    </a:endParaRPr>
                  </a:p>
                </xdr:txBody>
              </xdr:sp>
              <xdr:pic>
                <xdr:nvPicPr>
                  <xdr:cNvPr id="61" name="Graphic 60" descr="Ribbon">
                    <a:extLst>
                      <a:ext uri="{FF2B5EF4-FFF2-40B4-BE49-F238E27FC236}">
                        <a16:creationId xmlns:a16="http://schemas.microsoft.com/office/drawing/2014/main" id="{71AF108C-A7AD-03CC-AE08-A168F408F394}"/>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1135783" y="4722284"/>
                    <a:ext cx="524934" cy="493183"/>
                  </a:xfrm>
                  <a:prstGeom prst="rect">
                    <a:avLst/>
                  </a:prstGeom>
                </xdr:spPr>
              </xdr:pic>
            </xdr:grpSp>
            <mc:AlternateContent xmlns:mc="http://schemas.openxmlformats.org/markup-compatibility/2006" xmlns:a14="http://schemas.microsoft.com/office/drawing/2010/main">
              <mc:Choice Requires="a14">
                <xdr:graphicFrame macro="">
                  <xdr:nvGraphicFramePr>
                    <xdr:cNvPr id="76" name="NAMA PEKERJAAN 2">
                      <a:extLst>
                        <a:ext uri="{FF2B5EF4-FFF2-40B4-BE49-F238E27FC236}">
                          <a16:creationId xmlns:a16="http://schemas.microsoft.com/office/drawing/2014/main" id="{EDF359B8-481C-4B74-BF7B-EC64410C0D8A}"/>
                        </a:ext>
                      </a:extLst>
                    </xdr:cNvPr>
                    <xdr:cNvGraphicFramePr/>
                  </xdr:nvGraphicFramePr>
                  <xdr:xfrm>
                    <a:off x="19388667" y="2074334"/>
                    <a:ext cx="3672416" cy="2524125"/>
                  </xdr:xfrm>
                  <a:graphic>
                    <a:graphicData uri="http://schemas.microsoft.com/office/drawing/2010/slicer">
                      <sle:slicer xmlns:sle="http://schemas.microsoft.com/office/drawing/2010/slicer" name="NAMA PEKERJAAN 2"/>
                    </a:graphicData>
                  </a:graphic>
                </xdr:graphicFrame>
              </mc:Choice>
              <mc:Fallback xmlns="">
                <xdr:sp macro="" textlink="">
                  <xdr:nvSpPr>
                    <xdr:cNvPr id="0" name=""/>
                    <xdr:cNvSpPr>
                      <a:spLocks noTextEdit="1"/>
                    </xdr:cNvSpPr>
                  </xdr:nvSpPr>
                  <xdr:spPr>
                    <a:xfrm>
                      <a:off x="8696262" y="2100386"/>
                      <a:ext cx="3609868" cy="2355740"/>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88" name="BULAN">
                      <a:extLst>
                        <a:ext uri="{FF2B5EF4-FFF2-40B4-BE49-F238E27FC236}">
                          <a16:creationId xmlns:a16="http://schemas.microsoft.com/office/drawing/2014/main" id="{FA619E19-552A-4478-A033-C10D8BA49E54}"/>
                        </a:ext>
                      </a:extLst>
                    </xdr:cNvPr>
                    <xdr:cNvGraphicFramePr/>
                  </xdr:nvGraphicFramePr>
                  <xdr:xfrm>
                    <a:off x="19414693" y="4730750"/>
                    <a:ext cx="3618819" cy="2402416"/>
                  </xdr:xfrm>
                  <a:graphic>
                    <a:graphicData uri="http://schemas.microsoft.com/office/drawing/2010/slicer">
                      <sle:slicer xmlns:sle="http://schemas.microsoft.com/office/drawing/2010/slicer" name="BULAN"/>
                    </a:graphicData>
                  </a:graphic>
                </xdr:graphicFrame>
              </mc:Choice>
              <mc:Fallback xmlns="">
                <xdr:sp macro="" textlink="">
                  <xdr:nvSpPr>
                    <xdr:cNvPr id="0" name=""/>
                    <xdr:cNvSpPr>
                      <a:spLocks noTextEdit="1"/>
                    </xdr:cNvSpPr>
                  </xdr:nvSpPr>
                  <xdr:spPr>
                    <a:xfrm>
                      <a:off x="8721845" y="4579592"/>
                      <a:ext cx="3557184" cy="2242150"/>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nvGrpSpPr>
                <xdr:cNvPr id="93" name="Group 92">
                  <a:extLst>
                    <a:ext uri="{FF2B5EF4-FFF2-40B4-BE49-F238E27FC236}">
                      <a16:creationId xmlns:a16="http://schemas.microsoft.com/office/drawing/2014/main" id="{E9C79433-51BF-014C-940D-39F42BD553C2}"/>
                    </a:ext>
                  </a:extLst>
                </xdr:cNvPr>
                <xdr:cNvGrpSpPr/>
              </xdr:nvGrpSpPr>
              <xdr:grpSpPr>
                <a:xfrm>
                  <a:off x="20849166" y="116418"/>
                  <a:ext cx="2233084" cy="1921342"/>
                  <a:chOff x="20902082" y="52918"/>
                  <a:chExt cx="2233084" cy="1921342"/>
                </a:xfrm>
              </xdr:grpSpPr>
              <xdr:sp macro="" textlink="">
                <xdr:nvSpPr>
                  <xdr:cNvPr id="89" name="Rectangle: Rounded Corners 88">
                    <a:extLst>
                      <a:ext uri="{FF2B5EF4-FFF2-40B4-BE49-F238E27FC236}">
                        <a16:creationId xmlns:a16="http://schemas.microsoft.com/office/drawing/2014/main" id="{24D6F997-F927-EA38-03AC-97B0A7E44EB5}"/>
                      </a:ext>
                    </a:extLst>
                  </xdr:cNvPr>
                  <xdr:cNvSpPr/>
                </xdr:nvSpPr>
                <xdr:spPr>
                  <a:xfrm>
                    <a:off x="20902082" y="52918"/>
                    <a:ext cx="2233084" cy="1921342"/>
                  </a:xfrm>
                  <a:prstGeom prst="roundRect">
                    <a:avLst/>
                  </a:prstGeom>
                  <a:solidFill>
                    <a:schemeClr val="tx1"/>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ctr"/>
                    <a:endParaRPr lang="en-ID" sz="1400">
                      <a:latin typeface="Arial Black" panose="020B0A04020102020204" pitchFamily="34" charset="0"/>
                    </a:endParaRPr>
                  </a:p>
                  <a:p>
                    <a:pPr algn="ctr"/>
                    <a:endParaRPr lang="en-ID" sz="1400">
                      <a:latin typeface="Arial Black" panose="020B0A04020102020204" pitchFamily="34" charset="0"/>
                    </a:endParaRPr>
                  </a:p>
                  <a:p>
                    <a:pPr algn="ctr"/>
                    <a:r>
                      <a:rPr lang="en-ID" sz="1400">
                        <a:latin typeface="Arial Black" panose="020B0A04020102020204" pitchFamily="34" charset="0"/>
                      </a:rPr>
                      <a:t>REPORT UPDATE</a:t>
                    </a:r>
                  </a:p>
                </xdr:txBody>
              </xdr:sp>
              <xdr:grpSp>
                <xdr:nvGrpSpPr>
                  <xdr:cNvPr id="92" name="Group 91">
                    <a:extLst>
                      <a:ext uri="{FF2B5EF4-FFF2-40B4-BE49-F238E27FC236}">
                        <a16:creationId xmlns:a16="http://schemas.microsoft.com/office/drawing/2014/main" id="{F8040FFB-C52E-78BC-2D10-206AE394EB87}"/>
                      </a:ext>
                    </a:extLst>
                  </xdr:cNvPr>
                  <xdr:cNvGrpSpPr/>
                </xdr:nvGrpSpPr>
                <xdr:grpSpPr>
                  <a:xfrm>
                    <a:off x="21198416" y="881232"/>
                    <a:ext cx="1710448" cy="853918"/>
                    <a:chOff x="21198416" y="881232"/>
                    <a:chExt cx="1710448" cy="853918"/>
                  </a:xfrm>
                </xdr:grpSpPr>
                <xdr:sp macro="" textlink="PV!B1">
                  <xdr:nvSpPr>
                    <xdr:cNvPr id="90" name="TextBox 89">
                      <a:extLst>
                        <a:ext uri="{FF2B5EF4-FFF2-40B4-BE49-F238E27FC236}">
                          <a16:creationId xmlns:a16="http://schemas.microsoft.com/office/drawing/2014/main" id="{ACF8B7AC-BF5A-6D61-1B69-EE620F5178CE}"/>
                        </a:ext>
                      </a:extLst>
                    </xdr:cNvPr>
                    <xdr:cNvSpPr txBox="1"/>
                  </xdr:nvSpPr>
                  <xdr:spPr>
                    <a:xfrm>
                      <a:off x="21198416" y="881232"/>
                      <a:ext cx="1710448" cy="4548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C5F00467-070E-4F6C-9FC2-B182D2926444}" type="TxLink">
                        <a:rPr lang="en-US" sz="1800" b="0" i="0" u="none" strike="noStrike">
                          <a:solidFill>
                            <a:schemeClr val="bg1"/>
                          </a:solidFill>
                          <a:latin typeface="Arial Black" panose="020B0A04020102020204" pitchFamily="34" charset="0"/>
                          <a:ea typeface="Calibri"/>
                          <a:cs typeface="Calibri"/>
                        </a:rPr>
                        <a:pPr/>
                        <a:t>Wednesday</a:t>
                      </a:fld>
                      <a:endParaRPr lang="en-ID" sz="1800">
                        <a:solidFill>
                          <a:schemeClr val="bg1"/>
                        </a:solidFill>
                        <a:latin typeface="Arial Black" panose="020B0A04020102020204" pitchFamily="34" charset="0"/>
                      </a:endParaRPr>
                    </a:p>
                  </xdr:txBody>
                </xdr:sp>
                <xdr:sp macro="" textlink="PV!A1">
                  <xdr:nvSpPr>
                    <xdr:cNvPr id="91" name="TextBox 90">
                      <a:extLst>
                        <a:ext uri="{FF2B5EF4-FFF2-40B4-BE49-F238E27FC236}">
                          <a16:creationId xmlns:a16="http://schemas.microsoft.com/office/drawing/2014/main" id="{34D31DE4-2EAF-1867-FB81-208EA63164E2}"/>
                        </a:ext>
                      </a:extLst>
                    </xdr:cNvPr>
                    <xdr:cNvSpPr txBox="1"/>
                  </xdr:nvSpPr>
                  <xdr:spPr>
                    <a:xfrm>
                      <a:off x="21272500" y="1280279"/>
                      <a:ext cx="1629539" cy="454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DE0ECA7F-44A9-4862-9DCA-B819238521D4}" type="TxLink">
                        <a:rPr lang="en-US" sz="1800" b="0" i="0" u="none" strike="noStrike">
                          <a:solidFill>
                            <a:schemeClr val="bg1"/>
                          </a:solidFill>
                          <a:latin typeface="Arial Black" panose="020B0A04020102020204" pitchFamily="34" charset="0"/>
                          <a:ea typeface="Calibri"/>
                          <a:cs typeface="Calibri"/>
                        </a:rPr>
                        <a:pPr/>
                        <a:t>09/09/2026</a:t>
                      </a:fld>
                      <a:endParaRPr lang="en-ID" sz="1800">
                        <a:solidFill>
                          <a:schemeClr val="bg1"/>
                        </a:solidFill>
                        <a:latin typeface="Arial Black" panose="020B0A04020102020204" pitchFamily="34" charset="0"/>
                      </a:endParaRPr>
                    </a:p>
                  </xdr:txBody>
                </xdr:sp>
              </xdr:grpSp>
            </xdr:grpSp>
          </xdr:grpSp>
          <xdr:sp macro="" textlink="">
            <xdr:nvSpPr>
              <xdr:cNvPr id="95" name="Rectangle: Rounded Corners 94">
                <a:extLst>
                  <a:ext uri="{FF2B5EF4-FFF2-40B4-BE49-F238E27FC236}">
                    <a16:creationId xmlns:a16="http://schemas.microsoft.com/office/drawing/2014/main" id="{44FDF047-B5EC-D550-9315-6F669F50C9AF}"/>
                  </a:ext>
                </a:extLst>
              </xdr:cNvPr>
              <xdr:cNvSpPr/>
            </xdr:nvSpPr>
            <xdr:spPr>
              <a:xfrm>
                <a:off x="11154833" y="7291917"/>
                <a:ext cx="11800417" cy="1598083"/>
              </a:xfrm>
              <a:prstGeom prst="round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ID" sz="1100">
                    <a:latin typeface="Arial Black" panose="020B0A04020102020204" pitchFamily="34" charset="0"/>
                  </a:rPr>
                  <a:t>INSIGHT :</a:t>
                </a:r>
              </a:p>
              <a:p>
                <a:r>
                  <a:rPr lang="en-ID" sz="1100" baseline="0">
                    <a:solidFill>
                      <a:schemeClr val="lt1"/>
                    </a:solidFill>
                    <a:effectLst/>
                    <a:latin typeface="Arial Black" panose="020B0A04020102020204" pitchFamily="34" charset="0"/>
                    <a:ea typeface="+mn-ea"/>
                    <a:cs typeface="+mn-cs"/>
                  </a:rPr>
                  <a:t>1. PEKERJAAN DARI JANUARI -SAMPAI AGUSTUS 2026 ADALAH 8 SP DAN 28 LOP DENGAN NILAI Rp.759.615.840</a:t>
                </a:r>
                <a:endParaRPr lang="en-ID">
                  <a:effectLst/>
                  <a:latin typeface="Arial Black" panose="020B0A04020102020204" pitchFamily="34" charset="0"/>
                </a:endParaRPr>
              </a:p>
              <a:p>
                <a:r>
                  <a:rPr lang="en-ID" sz="1100" baseline="0">
                    <a:solidFill>
                      <a:schemeClr val="lt1"/>
                    </a:solidFill>
                    <a:effectLst/>
                    <a:latin typeface="Arial Black" panose="020B0A04020102020204" pitchFamily="34" charset="0"/>
                    <a:ea typeface="+mn-ea"/>
                    <a:cs typeface="+mn-cs"/>
                  </a:rPr>
                  <a:t>2. PENGELUARAN DARI JANUARI - SAMPAI AGUSTUS 2026 ADALAH Rp.381.736.400 DENGAN RASIO 50,25% DARI NILAI SP KESELURUHAN</a:t>
                </a:r>
                <a:endParaRPr lang="en-ID">
                  <a:effectLst/>
                  <a:latin typeface="Arial Black" panose="020B0A04020102020204" pitchFamily="34" charset="0"/>
                </a:endParaRPr>
              </a:p>
              <a:p>
                <a:r>
                  <a:rPr lang="en-ID" sz="1100" baseline="0">
                    <a:solidFill>
                      <a:schemeClr val="lt1"/>
                    </a:solidFill>
                    <a:effectLst/>
                    <a:latin typeface="Arial Black" panose="020B0A04020102020204" pitchFamily="34" charset="0"/>
                    <a:ea typeface="+mn-ea"/>
                    <a:cs typeface="+mn-cs"/>
                  </a:rPr>
                  <a:t>3. PENCAPAIAN BAST DARI JANUARI - SAMPAI SEPTEMBER 2026 BELUM ADA DISEBABKAN KETERLAMBATAN UT DARI TA - TIF </a:t>
                </a:r>
                <a:endParaRPr lang="en-ID">
                  <a:effectLst/>
                  <a:latin typeface="Arial Black" panose="020B0A04020102020204" pitchFamily="34" charset="0"/>
                </a:endParaRPr>
              </a:p>
              <a:p>
                <a:r>
                  <a:rPr lang="en-ID" sz="1100" baseline="0">
                    <a:solidFill>
                      <a:schemeClr val="lt1"/>
                    </a:solidFill>
                    <a:effectLst/>
                    <a:latin typeface="Arial Black" panose="020B0A04020102020204" pitchFamily="34" charset="0"/>
                    <a:ea typeface="+mn-ea"/>
                    <a:cs typeface="+mn-cs"/>
                  </a:rPr>
                  <a:t>4. ADA PEKERJAAN DROP SENILAI  Rp.182.510.100  ATAU 24,03% DISEBABKAN KOSONGNYA STOK MATERIAL DI TA DAN KENDALA PERIJINAN </a:t>
                </a:r>
                <a:endParaRPr lang="en-ID">
                  <a:effectLst/>
                  <a:latin typeface="Arial Black" panose="020B0A04020102020204" pitchFamily="34" charset="0"/>
                </a:endParaRPr>
              </a:p>
              <a:p>
                <a:pPr algn="l"/>
                <a:endParaRPr lang="en-ID" sz="1100">
                  <a:latin typeface="Arial Black" panose="020B0A04020102020204" pitchFamily="34" charset="0"/>
                </a:endParaRPr>
              </a:p>
            </xdr:txBody>
          </xdr:sp>
        </xdr:grpSp>
        <xdr:pic>
          <xdr:nvPicPr>
            <xdr:cNvPr id="98" name="Graphic 97" descr="Daily calendar">
              <a:extLst>
                <a:ext uri="{FF2B5EF4-FFF2-40B4-BE49-F238E27FC236}">
                  <a16:creationId xmlns:a16="http://schemas.microsoft.com/office/drawing/2014/main" id="{D2C6F504-579E-CEC5-8778-34AA10C0BA9E}"/>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10831283" y="335643"/>
              <a:ext cx="562428" cy="526143"/>
            </a:xfrm>
            <a:prstGeom prst="rect">
              <a:avLst/>
            </a:prstGeom>
          </xdr:spPr>
        </xdr:pic>
      </xdr:grpSp>
      <xdr:pic>
        <xdr:nvPicPr>
          <xdr:cNvPr id="106" name="Picture 105">
            <a:extLst>
              <a:ext uri="{FF2B5EF4-FFF2-40B4-BE49-F238E27FC236}">
                <a16:creationId xmlns:a16="http://schemas.microsoft.com/office/drawing/2014/main" id="{B260C416-E8B5-F42F-8CE2-E77A00863C85}"/>
              </a:ext>
            </a:extLst>
          </xdr:cNvPr>
          <xdr:cNvPicPr>
            <a:picLocks noChangeAspect="1"/>
          </xdr:cNvPicPr>
        </xdr:nvPicPr>
        <xdr:blipFill>
          <a:blip xmlns:r="http://schemas.openxmlformats.org/officeDocument/2006/relationships" r:embed="rId17">
            <a:extLst>
              <a:ext uri="{BEBA8EAE-BF5A-486C-A8C5-ECC9F3942E4B}">
                <a14:imgProps xmlns:a14="http://schemas.microsoft.com/office/drawing/2010/main">
                  <a14:imgLayer r:embed="rId18">
                    <a14:imgEffect>
                      <a14:backgroundRemoval t="6757" b="96622" l="9402" r="97436">
                        <a14:foregroundMark x1="11111" y1="32432" x2="18803" y2="53378"/>
                        <a14:foregroundMark x1="18803" y1="53378" x2="19658" y2="54054"/>
                        <a14:foregroundMark x1="61538" y1="6757" x2="61538" y2="6757"/>
                        <a14:foregroundMark x1="64957" y1="8108" x2="70085" y2="8108"/>
                        <a14:foregroundMark x1="92308" y1="39189" x2="92308" y2="39189"/>
                        <a14:foregroundMark x1="97436" y1="33784" x2="97436" y2="33784"/>
                        <a14:foregroundMark x1="57265" y1="90541" x2="57265" y2="90541"/>
                        <a14:foregroundMark x1="54701" y1="93919" x2="54701" y2="93919"/>
                        <a14:foregroundMark x1="55556" y1="96622" x2="55556" y2="96622"/>
                        <a14:backgroundMark x1="71795" y1="6081" x2="71795" y2="6081"/>
                        <a14:backgroundMark x1="69231" y1="7432" x2="69231" y2="7432"/>
                        <a14:backgroundMark x1="64103" y1="8108" x2="64103" y2="8108"/>
                        <a14:backgroundMark x1="69231" y1="8784" x2="69231" y2="8784"/>
                        <a14:backgroundMark x1="67521" y1="7432" x2="67521" y2="7432"/>
                        <a14:backgroundMark x1="59829" y1="6081" x2="59829" y2="6081"/>
                        <a14:backgroundMark x1="60684" y1="8108" x2="60684" y2="8108"/>
                        <a14:backgroundMark x1="67521" y1="8784" x2="67521" y2="8784"/>
                        <a14:backgroundMark x1="61538" y1="6081" x2="61538" y2="6081"/>
                        <a14:backgroundMark x1="56410" y1="98649" x2="56410" y2="98649"/>
                        <a14:backgroundMark x1="56410" y1="98649" x2="56410" y2="98649"/>
                        <a14:backgroundMark x1="54701" y1="97973" x2="54701" y2="97973"/>
                        <a14:backgroundMark x1="57265" y1="97973" x2="57265" y2="97973"/>
                        <a14:backgroundMark x1="57265" y1="96622" x2="57265" y2="96622"/>
                        <a14:backgroundMark x1="54701" y1="97973" x2="54701" y2="97973"/>
                        <a14:backgroundMark x1="55556" y1="97297" x2="55556" y2="97297"/>
                        <a14:backgroundMark x1="55556" y1="95270" x2="55556" y2="95270"/>
                      </a14:backgroundRemoval>
                    </a14:imgEffect>
                  </a14:imgLayer>
                </a14:imgProps>
              </a:ext>
            </a:extLst>
          </a:blip>
          <a:stretch>
            <a:fillRect/>
          </a:stretch>
        </xdr:blipFill>
        <xdr:spPr>
          <a:xfrm>
            <a:off x="9371919" y="392151"/>
            <a:ext cx="835706" cy="899949"/>
          </a:xfrm>
          <a:prstGeom prst="rect">
            <a:avLst/>
          </a:prstGeom>
        </xdr:spPr>
      </xdr:pic>
    </xdr:grp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574675</xdr:colOff>
      <xdr:row>18</xdr:row>
      <xdr:rowOff>44450</xdr:rowOff>
    </xdr:from>
    <xdr:to>
      <xdr:col>9</xdr:col>
      <xdr:colOff>631825</xdr:colOff>
      <xdr:row>35</xdr:row>
      <xdr:rowOff>25400</xdr:rowOff>
    </xdr:to>
    <xdr:graphicFrame macro="">
      <xdr:nvGraphicFramePr>
        <xdr:cNvPr id="3" name="Chart 2">
          <a:extLst>
            <a:ext uri="{FF2B5EF4-FFF2-40B4-BE49-F238E27FC236}">
              <a16:creationId xmlns:a16="http://schemas.microsoft.com/office/drawing/2014/main" id="{549E62EF-6FFE-6EC4-5C3C-2516FE4CC5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0</xdr:colOff>
      <xdr:row>37</xdr:row>
      <xdr:rowOff>0</xdr:rowOff>
    </xdr:from>
    <xdr:to>
      <xdr:col>9</xdr:col>
      <xdr:colOff>666750</xdr:colOff>
      <xdr:row>51</xdr:row>
      <xdr:rowOff>165100</xdr:rowOff>
    </xdr:to>
    <xdr:graphicFrame macro="">
      <xdr:nvGraphicFramePr>
        <xdr:cNvPr id="4" name="Chart 3">
          <a:extLst>
            <a:ext uri="{FF2B5EF4-FFF2-40B4-BE49-F238E27FC236}">
              <a16:creationId xmlns:a16="http://schemas.microsoft.com/office/drawing/2014/main" id="{C90CE2E7-B12E-41AA-8A9F-771FC78059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0</xdr:col>
      <xdr:colOff>4318000</xdr:colOff>
      <xdr:row>9</xdr:row>
      <xdr:rowOff>18144</xdr:rowOff>
    </xdr:from>
    <xdr:ext cx="898131" cy="436786"/>
    <xdr:sp macro="" textlink="">
      <xdr:nvSpPr>
        <xdr:cNvPr id="20" name="TextBox 19">
          <a:extLst>
            <a:ext uri="{FF2B5EF4-FFF2-40B4-BE49-F238E27FC236}">
              <a16:creationId xmlns:a16="http://schemas.microsoft.com/office/drawing/2014/main" id="{1F730046-320E-6B7E-E8D7-930391B31AD8}"/>
            </a:ext>
          </a:extLst>
        </xdr:cNvPr>
        <xdr:cNvSpPr txBox="1"/>
      </xdr:nvSpPr>
      <xdr:spPr>
        <a:xfrm>
          <a:off x="4318000" y="2032001"/>
          <a:ext cx="898131"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en-ID" sz="1100">
              <a:solidFill>
                <a:schemeClr val="bg1"/>
              </a:solidFill>
            </a:rPr>
            <a:t>REALISASI</a:t>
          </a:r>
          <a:endParaRPr lang="en-ID" sz="1100" baseline="0">
            <a:solidFill>
              <a:schemeClr val="bg1"/>
            </a:solidFill>
          </a:endParaRPr>
        </a:p>
        <a:p>
          <a:r>
            <a:rPr lang="en-ID" sz="1100" baseline="0">
              <a:solidFill>
                <a:schemeClr val="bg1"/>
              </a:solidFill>
            </a:rPr>
            <a:t> ANGGARAN</a:t>
          </a:r>
          <a:endParaRPr lang="en-ID" sz="1100">
            <a:solidFill>
              <a:schemeClr val="bg1"/>
            </a:solidFill>
          </a:endParaRPr>
        </a:p>
      </xdr:txBody>
    </xdr:sp>
    <xdr:clientData/>
  </xdr:oneCellAnchor>
  <xdr:oneCellAnchor>
    <xdr:from>
      <xdr:col>1</xdr:col>
      <xdr:colOff>732971</xdr:colOff>
      <xdr:row>9</xdr:row>
      <xdr:rowOff>7258</xdr:rowOff>
    </xdr:from>
    <xdr:ext cx="958917" cy="436786"/>
    <xdr:sp macro="" textlink="">
      <xdr:nvSpPr>
        <xdr:cNvPr id="21" name="TextBox 20">
          <a:extLst>
            <a:ext uri="{FF2B5EF4-FFF2-40B4-BE49-F238E27FC236}">
              <a16:creationId xmlns:a16="http://schemas.microsoft.com/office/drawing/2014/main" id="{EC76F362-586B-4523-B9B5-54C00DF8AFCF}"/>
            </a:ext>
          </a:extLst>
        </xdr:cNvPr>
        <xdr:cNvSpPr txBox="1"/>
      </xdr:nvSpPr>
      <xdr:spPr>
        <a:xfrm>
          <a:off x="6039757" y="2021115"/>
          <a:ext cx="958917"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D" sz="1100">
              <a:solidFill>
                <a:schemeClr val="bg1"/>
              </a:solidFill>
            </a:rPr>
            <a:t>PENYERAPA</a:t>
          </a:r>
          <a:r>
            <a:rPr lang="en-ID" sz="1100" baseline="0">
              <a:solidFill>
                <a:schemeClr val="bg1"/>
              </a:solidFill>
            </a:rPr>
            <a:t>N</a:t>
          </a:r>
        </a:p>
        <a:p>
          <a:r>
            <a:rPr lang="en-ID" sz="1100" baseline="0">
              <a:solidFill>
                <a:schemeClr val="bg1"/>
              </a:solidFill>
            </a:rPr>
            <a:t> ANGGARAN</a:t>
          </a:r>
          <a:endParaRPr lang="en-ID" sz="1100">
            <a:solidFill>
              <a:schemeClr val="bg1"/>
            </a:solidFill>
          </a:endParaRPr>
        </a:p>
      </xdr:txBody>
    </xdr:sp>
    <xdr:clientData/>
  </xdr:oneCellAnchor>
  <xdr:twoCellAnchor>
    <xdr:from>
      <xdr:col>0</xdr:col>
      <xdr:colOff>840641</xdr:colOff>
      <xdr:row>0</xdr:row>
      <xdr:rowOff>98652</xdr:rowOff>
    </xdr:from>
    <xdr:to>
      <xdr:col>7</xdr:col>
      <xdr:colOff>154214</xdr:colOff>
      <xdr:row>68</xdr:row>
      <xdr:rowOff>35153</xdr:rowOff>
    </xdr:to>
    <xdr:grpSp>
      <xdr:nvGrpSpPr>
        <xdr:cNvPr id="34" name="Group 33">
          <a:extLst>
            <a:ext uri="{FF2B5EF4-FFF2-40B4-BE49-F238E27FC236}">
              <a16:creationId xmlns:a16="http://schemas.microsoft.com/office/drawing/2014/main" id="{53EF60F7-B03E-9AFB-17D8-0225E48CF5BA}"/>
            </a:ext>
          </a:extLst>
        </xdr:cNvPr>
        <xdr:cNvGrpSpPr/>
      </xdr:nvGrpSpPr>
      <xdr:grpSpPr>
        <a:xfrm>
          <a:off x="840641" y="98652"/>
          <a:ext cx="9314823" cy="12551834"/>
          <a:chOff x="299353" y="216581"/>
          <a:chExt cx="9307289" cy="12654644"/>
        </a:xfrm>
      </xdr:grpSpPr>
      <xdr:grpSp>
        <xdr:nvGrpSpPr>
          <xdr:cNvPr id="25" name="Group 24">
            <a:extLst>
              <a:ext uri="{FF2B5EF4-FFF2-40B4-BE49-F238E27FC236}">
                <a16:creationId xmlns:a16="http://schemas.microsoft.com/office/drawing/2014/main" id="{069F12F6-56A9-7E5F-33B1-701CD75635B4}"/>
              </a:ext>
            </a:extLst>
          </xdr:cNvPr>
          <xdr:cNvGrpSpPr/>
        </xdr:nvGrpSpPr>
        <xdr:grpSpPr>
          <a:xfrm>
            <a:off x="299353" y="216581"/>
            <a:ext cx="9307289" cy="12654644"/>
            <a:chOff x="480782" y="125867"/>
            <a:chExt cx="9307289" cy="12654644"/>
          </a:xfrm>
        </xdr:grpSpPr>
        <xdr:grpSp>
          <xdr:nvGrpSpPr>
            <xdr:cNvPr id="65" name="Group 64">
              <a:extLst>
                <a:ext uri="{FF2B5EF4-FFF2-40B4-BE49-F238E27FC236}">
                  <a16:creationId xmlns:a16="http://schemas.microsoft.com/office/drawing/2014/main" id="{D94C4695-249F-001B-60B6-E370B6FDD490}"/>
                </a:ext>
              </a:extLst>
            </xdr:cNvPr>
            <xdr:cNvGrpSpPr/>
          </xdr:nvGrpSpPr>
          <xdr:grpSpPr>
            <a:xfrm>
              <a:off x="480782" y="125867"/>
              <a:ext cx="9307289" cy="12654644"/>
              <a:chOff x="145139" y="53295"/>
              <a:chExt cx="9307289" cy="12654644"/>
            </a:xfrm>
          </xdr:grpSpPr>
          <xdr:grpSp>
            <xdr:nvGrpSpPr>
              <xdr:cNvPr id="64" name="Group 63">
                <a:extLst>
                  <a:ext uri="{FF2B5EF4-FFF2-40B4-BE49-F238E27FC236}">
                    <a16:creationId xmlns:a16="http://schemas.microsoft.com/office/drawing/2014/main" id="{3E3F830D-2BC6-6D59-9C4D-9D05B86D72AE}"/>
                  </a:ext>
                </a:extLst>
              </xdr:cNvPr>
              <xdr:cNvGrpSpPr/>
            </xdr:nvGrpSpPr>
            <xdr:grpSpPr>
              <a:xfrm>
                <a:off x="145139" y="53295"/>
                <a:ext cx="9307289" cy="12654644"/>
                <a:chOff x="108853" y="26080"/>
                <a:chExt cx="9307289" cy="12654644"/>
              </a:xfrm>
            </xdr:grpSpPr>
            <xdr:grpSp>
              <xdr:nvGrpSpPr>
                <xdr:cNvPr id="63" name="Group 62">
                  <a:extLst>
                    <a:ext uri="{FF2B5EF4-FFF2-40B4-BE49-F238E27FC236}">
                      <a16:creationId xmlns:a16="http://schemas.microsoft.com/office/drawing/2014/main" id="{DE02C6CB-88EA-8166-1430-878817CFD2B1}"/>
                    </a:ext>
                  </a:extLst>
                </xdr:cNvPr>
                <xdr:cNvGrpSpPr/>
              </xdr:nvGrpSpPr>
              <xdr:grpSpPr>
                <a:xfrm>
                  <a:off x="108853" y="26080"/>
                  <a:ext cx="9307289" cy="12654644"/>
                  <a:chOff x="54425" y="35151"/>
                  <a:chExt cx="9307289" cy="12654644"/>
                </a:xfrm>
              </xdr:grpSpPr>
              <xdr:grpSp>
                <xdr:nvGrpSpPr>
                  <xdr:cNvPr id="31" name="Group 30">
                    <a:extLst>
                      <a:ext uri="{FF2B5EF4-FFF2-40B4-BE49-F238E27FC236}">
                        <a16:creationId xmlns:a16="http://schemas.microsoft.com/office/drawing/2014/main" id="{6DEC1706-2CEF-AB7C-610A-D37FD6F075FF}"/>
                      </a:ext>
                    </a:extLst>
                  </xdr:cNvPr>
                  <xdr:cNvGrpSpPr/>
                </xdr:nvGrpSpPr>
                <xdr:grpSpPr>
                  <a:xfrm>
                    <a:off x="54425" y="35151"/>
                    <a:ext cx="9307289" cy="12654644"/>
                    <a:chOff x="54422" y="35151"/>
                    <a:chExt cx="9306159" cy="12540118"/>
                  </a:xfrm>
                </xdr:grpSpPr>
                <xdr:grpSp>
                  <xdr:nvGrpSpPr>
                    <xdr:cNvPr id="27" name="Group 26">
                      <a:extLst>
                        <a:ext uri="{FF2B5EF4-FFF2-40B4-BE49-F238E27FC236}">
                          <a16:creationId xmlns:a16="http://schemas.microsoft.com/office/drawing/2014/main" id="{5C40D003-CFC8-8768-56AA-FDDB1E70EF42}"/>
                        </a:ext>
                      </a:extLst>
                    </xdr:cNvPr>
                    <xdr:cNvGrpSpPr/>
                  </xdr:nvGrpSpPr>
                  <xdr:grpSpPr>
                    <a:xfrm>
                      <a:off x="54422" y="35151"/>
                      <a:ext cx="9306159" cy="12540118"/>
                      <a:chOff x="54422" y="35151"/>
                      <a:chExt cx="9306159" cy="12540118"/>
                    </a:xfrm>
                  </xdr:grpSpPr>
                  <xdr:grpSp>
                    <xdr:nvGrpSpPr>
                      <xdr:cNvPr id="9" name="Group 8">
                        <a:extLst>
                          <a:ext uri="{FF2B5EF4-FFF2-40B4-BE49-F238E27FC236}">
                            <a16:creationId xmlns:a16="http://schemas.microsoft.com/office/drawing/2014/main" id="{27841534-B5EB-D490-7BC6-6F67B500CFB3}"/>
                          </a:ext>
                        </a:extLst>
                      </xdr:cNvPr>
                      <xdr:cNvGrpSpPr/>
                    </xdr:nvGrpSpPr>
                    <xdr:grpSpPr>
                      <a:xfrm>
                        <a:off x="54422" y="35151"/>
                        <a:ext cx="9306159" cy="12540118"/>
                        <a:chOff x="54429" y="126999"/>
                        <a:chExt cx="9307285" cy="12273644"/>
                      </a:xfrm>
                    </xdr:grpSpPr>
                    <xdr:sp macro="" textlink="">
                      <xdr:nvSpPr>
                        <xdr:cNvPr id="26" name="Rectangle: Rounded Corners 25">
                          <a:extLst>
                            <a:ext uri="{FF2B5EF4-FFF2-40B4-BE49-F238E27FC236}">
                              <a16:creationId xmlns:a16="http://schemas.microsoft.com/office/drawing/2014/main" id="{78519BFF-D0B1-3471-7E40-19DE255ACC01}"/>
                            </a:ext>
                          </a:extLst>
                        </xdr:cNvPr>
                        <xdr:cNvSpPr/>
                      </xdr:nvSpPr>
                      <xdr:spPr>
                        <a:xfrm>
                          <a:off x="163285" y="126999"/>
                          <a:ext cx="9080501" cy="1152072"/>
                        </a:xfrm>
                        <a:prstGeom prst="roundRect">
                          <a:avLst/>
                        </a:prstGeom>
                        <a:solidFill>
                          <a:srgbClr val="FF0000"/>
                        </a:solidFill>
                        <a:ln>
                          <a:solidFill>
                            <a:schemeClr val="bg2">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D" sz="2000">
                              <a:latin typeface="Arial Black" panose="020B0A04020102020204" pitchFamily="34" charset="0"/>
                            </a:rPr>
                            <a:t>DASHBOARD</a:t>
                          </a:r>
                          <a:r>
                            <a:rPr lang="en-ID" sz="2000" baseline="0">
                              <a:latin typeface="Arial Black" panose="020B0A04020102020204" pitchFamily="34" charset="0"/>
                            </a:rPr>
                            <a:t> BUDGET DAN REALISASI ANGGARAN PEKERJAAN JANUARI - AGUSTUS 2026</a:t>
                          </a:r>
                          <a:endParaRPr lang="en-ID" sz="2000">
                            <a:latin typeface="Arial Black" panose="020B0A04020102020204" pitchFamily="34" charset="0"/>
                          </a:endParaRPr>
                        </a:p>
                      </xdr:txBody>
                    </xdr:sp>
                    <xdr:sp macro="" textlink="">
                      <xdr:nvSpPr>
                        <xdr:cNvPr id="8" name="Rectangle: Rounded Corners 7">
                          <a:extLst>
                            <a:ext uri="{FF2B5EF4-FFF2-40B4-BE49-F238E27FC236}">
                              <a16:creationId xmlns:a16="http://schemas.microsoft.com/office/drawing/2014/main" id="{0CF8A22C-A3F6-0617-0D98-6208E80FB6C0}"/>
                            </a:ext>
                          </a:extLst>
                        </xdr:cNvPr>
                        <xdr:cNvSpPr/>
                      </xdr:nvSpPr>
                      <xdr:spPr>
                        <a:xfrm>
                          <a:off x="54429" y="10858500"/>
                          <a:ext cx="9307285" cy="1542143"/>
                        </a:xfrm>
                        <a:prstGeom prst="roundRect">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D" sz="1100">
                              <a:latin typeface="Arial Black" panose="020B0A04020102020204" pitchFamily="34" charset="0"/>
                            </a:rPr>
                            <a:t>INSIGHT</a:t>
                          </a:r>
                          <a:r>
                            <a:rPr lang="en-ID" sz="1100" baseline="0">
                              <a:latin typeface="Arial Black" panose="020B0A04020102020204" pitchFamily="34" charset="0"/>
                            </a:rPr>
                            <a:t> :</a:t>
                          </a:r>
                        </a:p>
                        <a:p>
                          <a:pPr algn="l"/>
                          <a:r>
                            <a:rPr lang="en-ID" sz="1100" baseline="0">
                              <a:latin typeface="Arial Black" panose="020B0A04020102020204" pitchFamily="34" charset="0"/>
                            </a:rPr>
                            <a:t>1.Over budget dipekerjaan JPP 4 Lop disebabkan karena LOP JPP PATTIRO RIOLO  didrop  pada saat proses request material. TA drop lop tersebut karena tidak mampu pengadaan material untuk pekerjaan tersebut dan mereka hanya mengarahkan untuk lakukan perijinan dan mengikut harga KHS juga turun pada saat 3 lop lainnya sudah mencapai progres 80%</a:t>
                          </a:r>
                        </a:p>
                        <a:p>
                          <a:pPr algn="l"/>
                          <a:r>
                            <a:rPr lang="en-ID" sz="1100" baseline="0">
                              <a:latin typeface="Arial Black" panose="020B0A04020102020204" pitchFamily="34" charset="0"/>
                            </a:rPr>
                            <a:t> </a:t>
                          </a:r>
                          <a:endParaRPr lang="en-ID" sz="1100">
                            <a:latin typeface="Arial Black" panose="020B0A04020102020204" pitchFamily="34" charset="0"/>
                          </a:endParaRPr>
                        </a:p>
                      </xdr:txBody>
                    </xdr:sp>
                  </xdr:grpSp>
                  <xdr:graphicFrame macro="">
                    <xdr:nvGraphicFramePr>
                      <xdr:cNvPr id="10" name="Chart 9">
                        <a:extLst>
                          <a:ext uri="{FF2B5EF4-FFF2-40B4-BE49-F238E27FC236}">
                            <a16:creationId xmlns:a16="http://schemas.microsoft.com/office/drawing/2014/main" id="{05DA8441-9C8A-B15D-D89D-AB160242DE3C}"/>
                          </a:ext>
                        </a:extLst>
                      </xdr:cNvPr>
                      <xdr:cNvGraphicFramePr/>
                    </xdr:nvGraphicFramePr>
                    <xdr:xfrm>
                      <a:off x="63481" y="5283988"/>
                      <a:ext cx="4572000" cy="2743201"/>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11" name="Chart 10">
                        <a:extLst>
                          <a:ext uri="{FF2B5EF4-FFF2-40B4-BE49-F238E27FC236}">
                            <a16:creationId xmlns:a16="http://schemas.microsoft.com/office/drawing/2014/main" id="{A98E1CF1-BC63-4E42-3085-75DDF3023693}"/>
                          </a:ext>
                        </a:extLst>
                      </xdr:cNvPr>
                      <xdr:cNvGraphicFramePr/>
                    </xdr:nvGraphicFramePr>
                    <xdr:xfrm>
                      <a:off x="4710901" y="5283994"/>
                      <a:ext cx="4572000" cy="2743200"/>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12" name="Chart 11">
                        <a:extLst>
                          <a:ext uri="{FF2B5EF4-FFF2-40B4-BE49-F238E27FC236}">
                            <a16:creationId xmlns:a16="http://schemas.microsoft.com/office/drawing/2014/main" id="{744DF318-2B20-7FAA-9BEA-615A08EB462A}"/>
                          </a:ext>
                        </a:extLst>
                      </xdr:cNvPr>
                      <xdr:cNvGraphicFramePr/>
                    </xdr:nvGraphicFramePr>
                    <xdr:xfrm>
                      <a:off x="66104" y="8109743"/>
                      <a:ext cx="4572000" cy="2743200"/>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14" name="Chart 13">
                        <a:extLst>
                          <a:ext uri="{FF2B5EF4-FFF2-40B4-BE49-F238E27FC236}">
                            <a16:creationId xmlns:a16="http://schemas.microsoft.com/office/drawing/2014/main" id="{70152D6F-4623-4265-A66A-069B7798B22D}"/>
                          </a:ext>
                        </a:extLst>
                      </xdr:cNvPr>
                      <xdr:cNvGraphicFramePr>
                        <a:graphicFrameLocks/>
                      </xdr:cNvGraphicFramePr>
                    </xdr:nvGraphicFramePr>
                    <xdr:xfrm>
                      <a:off x="4730765" y="8072438"/>
                      <a:ext cx="4572000" cy="2743200"/>
                    </xdr:xfrm>
                    <a:graphic>
                      <a:graphicData uri="http://schemas.openxmlformats.org/drawingml/2006/chart">
                        <c:chart xmlns:c="http://schemas.openxmlformats.org/drawingml/2006/chart" xmlns:r="http://schemas.openxmlformats.org/officeDocument/2006/relationships" r:id="rId4"/>
                      </a:graphicData>
                    </a:graphic>
                  </xdr:graphicFrame>
                </xdr:grpSp>
                <mc:AlternateContent xmlns:mc="http://schemas.openxmlformats.org/markup-compatibility/2006" xmlns:a14="http://schemas.microsoft.com/office/drawing/2010/main">
                  <mc:Choice Requires="a14">
                    <xdr:graphicFrame macro="">
                      <xdr:nvGraphicFramePr>
                        <xdr:cNvPr id="28" name="NAMA PEKERJAAN 1">
                          <a:extLst>
                            <a:ext uri="{FF2B5EF4-FFF2-40B4-BE49-F238E27FC236}">
                              <a16:creationId xmlns:a16="http://schemas.microsoft.com/office/drawing/2014/main" id="{4C28AF0B-17ED-4C92-E63A-672DD21CB0F0}"/>
                            </a:ext>
                          </a:extLst>
                        </xdr:cNvPr>
                        <xdr:cNvGraphicFramePr/>
                      </xdr:nvGraphicFramePr>
                      <xdr:xfrm>
                        <a:off x="152396" y="2793998"/>
                        <a:ext cx="5094287" cy="2397127"/>
                      </xdr:xfrm>
                      <a:graphic>
                        <a:graphicData uri="http://schemas.microsoft.com/office/drawing/2010/slicer">
                          <sle:slicer xmlns:sle="http://schemas.microsoft.com/office/drawing/2010/slicer" name="NAMA PEKERJAAN 1"/>
                        </a:graphicData>
                      </a:graphic>
                    </xdr:graphicFrame>
                  </mc:Choice>
                  <mc:Fallback xmlns="">
                    <xdr:sp macro="" textlink="">
                      <xdr:nvSpPr>
                        <xdr:cNvPr id="0" name=""/>
                        <xdr:cNvSpPr>
                          <a:spLocks noTextEdit="1"/>
                        </xdr:cNvSpPr>
                      </xdr:nvSpPr>
                      <xdr:spPr>
                        <a:xfrm>
                          <a:off x="938706" y="2860077"/>
                          <a:ext cx="5099030" cy="2399367"/>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30" name="TANGGAL">
                          <a:extLst>
                            <a:ext uri="{FF2B5EF4-FFF2-40B4-BE49-F238E27FC236}">
                              <a16:creationId xmlns:a16="http://schemas.microsoft.com/office/drawing/2014/main" id="{135DC6FD-44F1-4EBF-AED4-515E8866ECF8}"/>
                            </a:ext>
                          </a:extLst>
                        </xdr:cNvPr>
                        <xdr:cNvGraphicFramePr/>
                      </xdr:nvGraphicFramePr>
                      <xdr:xfrm>
                        <a:off x="5302250" y="2825750"/>
                        <a:ext cx="3958558" cy="2373313"/>
                      </xdr:xfrm>
                      <a:graphic>
                        <a:graphicData uri="http://schemas.microsoft.com/office/drawing/2010/slicer">
                          <sle:slicer xmlns:sle="http://schemas.microsoft.com/office/drawing/2010/slicer" name="TANGGAL"/>
                        </a:graphicData>
                      </a:graphic>
                    </xdr:graphicFrame>
                  </mc:Choice>
                  <mc:Fallback xmlns="">
                    <xdr:sp macro="" textlink="">
                      <xdr:nvSpPr>
                        <xdr:cNvPr id="0" name=""/>
                        <xdr:cNvSpPr>
                          <a:spLocks noTextEdit="1"/>
                        </xdr:cNvSpPr>
                      </xdr:nvSpPr>
                      <xdr:spPr>
                        <a:xfrm>
                          <a:off x="6093355" y="2891858"/>
                          <a:ext cx="3962243" cy="2375530"/>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grpSp>
                <xdr:nvGrpSpPr>
                  <xdr:cNvPr id="53" name="Group 52">
                    <a:extLst>
                      <a:ext uri="{FF2B5EF4-FFF2-40B4-BE49-F238E27FC236}">
                        <a16:creationId xmlns:a16="http://schemas.microsoft.com/office/drawing/2014/main" id="{2A3C973A-9342-70B5-D39A-1EC3DCCB2BA7}"/>
                      </a:ext>
                    </a:extLst>
                  </xdr:cNvPr>
                  <xdr:cNvGrpSpPr/>
                </xdr:nvGrpSpPr>
                <xdr:grpSpPr>
                  <a:xfrm>
                    <a:off x="163287" y="1333500"/>
                    <a:ext cx="1614714" cy="1433286"/>
                    <a:chOff x="163287" y="1333500"/>
                    <a:chExt cx="1614714" cy="1433286"/>
                  </a:xfrm>
                </xdr:grpSpPr>
                <xdr:sp macro="" textlink="">
                  <xdr:nvSpPr>
                    <xdr:cNvPr id="2" name="Rectangle: Rounded Corners 1">
                      <a:extLst>
                        <a:ext uri="{FF2B5EF4-FFF2-40B4-BE49-F238E27FC236}">
                          <a16:creationId xmlns:a16="http://schemas.microsoft.com/office/drawing/2014/main" id="{7193D1C8-253B-A7CC-21D9-DEFE927791EC}"/>
                        </a:ext>
                      </a:extLst>
                    </xdr:cNvPr>
                    <xdr:cNvSpPr/>
                  </xdr:nvSpPr>
                  <xdr:spPr>
                    <a:xfrm>
                      <a:off x="163287" y="1333500"/>
                      <a:ext cx="1614714" cy="1433286"/>
                    </a:xfrm>
                    <a:prstGeom prst="roundRect">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D" sz="1600"/>
                    </a:p>
                    <a:p>
                      <a:pPr algn="ctr"/>
                      <a:endParaRPr lang="en-ID" sz="1600"/>
                    </a:p>
                    <a:p>
                      <a:pPr algn="ctr"/>
                      <a:r>
                        <a:rPr lang="en-ID" sz="1600">
                          <a:latin typeface="Arial Black" panose="020B0A04020102020204" pitchFamily="34" charset="0"/>
                        </a:rPr>
                        <a:t>NILAI SP</a:t>
                      </a:r>
                    </a:p>
                  </xdr:txBody>
                </xdr:sp>
                <xdr:sp macro="" textlink="$BF$28">
                  <xdr:nvSpPr>
                    <xdr:cNvPr id="4" name="TextBox 3">
                      <a:extLst>
                        <a:ext uri="{FF2B5EF4-FFF2-40B4-BE49-F238E27FC236}">
                          <a16:creationId xmlns:a16="http://schemas.microsoft.com/office/drawing/2014/main" id="{70664D03-69FA-DB50-AFB2-B70D93D37E77}"/>
                        </a:ext>
                      </a:extLst>
                    </xdr:cNvPr>
                    <xdr:cNvSpPr txBox="1"/>
                  </xdr:nvSpPr>
                  <xdr:spPr>
                    <a:xfrm>
                      <a:off x="263065" y="2267856"/>
                      <a:ext cx="1369792" cy="29123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9EFEBFA8-B88E-43B0-8ACB-1312DA17D82F}" type="TxLink">
                        <a:rPr lang="en-US" sz="1100" b="0" i="0" u="none" strike="noStrike">
                          <a:solidFill>
                            <a:schemeClr val="bg1"/>
                          </a:solidFill>
                          <a:latin typeface="Arial Black" panose="020B0A04020102020204" pitchFamily="34" charset="0"/>
                          <a:ea typeface="Calibri"/>
                          <a:cs typeface="Calibri"/>
                        </a:rPr>
                        <a:pPr/>
                        <a:t>Rp559.472.338</a:t>
                      </a:fld>
                      <a:endParaRPr lang="en-ID" sz="1100">
                        <a:solidFill>
                          <a:schemeClr val="bg1"/>
                        </a:solidFill>
                        <a:latin typeface="Arial Black" panose="020B0A04020102020204" pitchFamily="34" charset="0"/>
                      </a:endParaRPr>
                    </a:p>
                  </xdr:txBody>
                </xdr:sp>
              </xdr:grpSp>
              <xdr:grpSp>
                <xdr:nvGrpSpPr>
                  <xdr:cNvPr id="54" name="Group 53">
                    <a:extLst>
                      <a:ext uri="{FF2B5EF4-FFF2-40B4-BE49-F238E27FC236}">
                        <a16:creationId xmlns:a16="http://schemas.microsoft.com/office/drawing/2014/main" id="{3ED18469-C805-6C7F-83EC-FB9E5ECCA540}"/>
                      </a:ext>
                    </a:extLst>
                  </xdr:cNvPr>
                  <xdr:cNvGrpSpPr/>
                </xdr:nvGrpSpPr>
                <xdr:grpSpPr>
                  <a:xfrm>
                    <a:off x="1969901" y="1344171"/>
                    <a:ext cx="1614714" cy="1433286"/>
                    <a:chOff x="1969901" y="1344171"/>
                    <a:chExt cx="1614714" cy="1433286"/>
                  </a:xfrm>
                </xdr:grpSpPr>
                <xdr:sp macro="" textlink="">
                  <xdr:nvSpPr>
                    <xdr:cNvPr id="49" name="Rectangle: Rounded Corners 48">
                      <a:extLst>
                        <a:ext uri="{FF2B5EF4-FFF2-40B4-BE49-F238E27FC236}">
                          <a16:creationId xmlns:a16="http://schemas.microsoft.com/office/drawing/2014/main" id="{C448C46D-1815-9CAB-F25F-62ED85E34CB7}"/>
                        </a:ext>
                      </a:extLst>
                    </xdr:cNvPr>
                    <xdr:cNvSpPr/>
                  </xdr:nvSpPr>
                  <xdr:spPr>
                    <a:xfrm>
                      <a:off x="1969901" y="1344171"/>
                      <a:ext cx="1614714" cy="1433286"/>
                    </a:xfrm>
                    <a:prstGeom prst="roundRect">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D" sz="1400"/>
                    </a:p>
                    <a:p>
                      <a:pPr algn="ctr"/>
                      <a:endParaRPr lang="en-ID" sz="1400"/>
                    </a:p>
                    <a:p>
                      <a:pPr algn="ctr"/>
                      <a:endParaRPr lang="en-ID" sz="1400"/>
                    </a:p>
                    <a:p>
                      <a:pPr algn="ctr"/>
                      <a:endParaRPr lang="en-ID" sz="1100">
                        <a:latin typeface="Arial Black" panose="020B0A04020102020204" pitchFamily="34" charset="0"/>
                      </a:endParaRPr>
                    </a:p>
                  </xdr:txBody>
                </xdr:sp>
                <xdr:sp macro="" textlink="$BJ$29">
                  <xdr:nvSpPr>
                    <xdr:cNvPr id="50" name="TextBox 49">
                      <a:extLst>
                        <a:ext uri="{FF2B5EF4-FFF2-40B4-BE49-F238E27FC236}">
                          <a16:creationId xmlns:a16="http://schemas.microsoft.com/office/drawing/2014/main" id="{7058BBD0-49FC-E693-A340-7A82E5D5B738}"/>
                        </a:ext>
                      </a:extLst>
                    </xdr:cNvPr>
                    <xdr:cNvSpPr txBox="1"/>
                  </xdr:nvSpPr>
                  <xdr:spPr>
                    <a:xfrm>
                      <a:off x="2133187" y="2269458"/>
                      <a:ext cx="1433406" cy="3093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3B0A3698-244B-41D5-B576-0BD9F16AF9E5}" type="TxLink">
                        <a:rPr lang="en-US" sz="1200" b="0" i="0" u="none" strike="noStrike">
                          <a:solidFill>
                            <a:schemeClr val="bg1"/>
                          </a:solidFill>
                          <a:latin typeface="Arial Black" panose="020B0A04020102020204" pitchFamily="34" charset="0"/>
                          <a:ea typeface="Calibri"/>
                          <a:cs typeface="Calibri"/>
                        </a:rPr>
                        <a:pPr/>
                        <a:t>Rp391.630.637</a:t>
                      </a:fld>
                      <a:endParaRPr lang="en-ID" sz="1800">
                        <a:solidFill>
                          <a:schemeClr val="bg1"/>
                        </a:solidFill>
                        <a:latin typeface="Arial Black" panose="020B0A04020102020204" pitchFamily="34" charset="0"/>
                      </a:endParaRPr>
                    </a:p>
                  </xdr:txBody>
                </xdr:sp>
              </xdr:grpSp>
              <xdr:grpSp>
                <xdr:nvGrpSpPr>
                  <xdr:cNvPr id="55" name="Group 54">
                    <a:extLst>
                      <a:ext uri="{FF2B5EF4-FFF2-40B4-BE49-F238E27FC236}">
                        <a16:creationId xmlns:a16="http://schemas.microsoft.com/office/drawing/2014/main" id="{51CF69A5-BD65-73C1-A484-3C527AD08DFA}"/>
                      </a:ext>
                    </a:extLst>
                  </xdr:cNvPr>
                  <xdr:cNvGrpSpPr/>
                </xdr:nvGrpSpPr>
                <xdr:grpSpPr>
                  <a:xfrm>
                    <a:off x="3874746" y="1333499"/>
                    <a:ext cx="5043652" cy="1433286"/>
                    <a:chOff x="3874746" y="1333499"/>
                    <a:chExt cx="5043652" cy="1433286"/>
                  </a:xfrm>
                </xdr:grpSpPr>
                <xdr:sp macro="" textlink="">
                  <xdr:nvSpPr>
                    <xdr:cNvPr id="51" name="Rectangle: Rounded Corners 50">
                      <a:extLst>
                        <a:ext uri="{FF2B5EF4-FFF2-40B4-BE49-F238E27FC236}">
                          <a16:creationId xmlns:a16="http://schemas.microsoft.com/office/drawing/2014/main" id="{1C03A164-BF7B-70D2-8D02-B6C34BA79D8F}"/>
                        </a:ext>
                      </a:extLst>
                    </xdr:cNvPr>
                    <xdr:cNvSpPr/>
                  </xdr:nvSpPr>
                  <xdr:spPr>
                    <a:xfrm>
                      <a:off x="3874746" y="1333499"/>
                      <a:ext cx="1614714" cy="1433286"/>
                    </a:xfrm>
                    <a:prstGeom prst="roundRect">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D" sz="1600"/>
                    </a:p>
                    <a:p>
                      <a:pPr algn="ctr"/>
                      <a:endParaRPr lang="en-ID" sz="1200"/>
                    </a:p>
                  </xdr:txBody>
                </xdr:sp>
                <xdr:sp macro="" textlink="$BJ$36">
                  <xdr:nvSpPr>
                    <xdr:cNvPr id="52" name="TextBox 51">
                      <a:extLst>
                        <a:ext uri="{FF2B5EF4-FFF2-40B4-BE49-F238E27FC236}">
                          <a16:creationId xmlns:a16="http://schemas.microsoft.com/office/drawing/2014/main" id="{5E5E33BB-DD34-F736-1F41-4E28DF77B3B5}"/>
                        </a:ext>
                      </a:extLst>
                    </xdr:cNvPr>
                    <xdr:cNvSpPr txBox="1"/>
                  </xdr:nvSpPr>
                  <xdr:spPr>
                    <a:xfrm>
                      <a:off x="3983611" y="2304140"/>
                      <a:ext cx="1433406" cy="3093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A0642382-DC2E-411C-8F9A-75BA07B1A1C0}" type="TxLink">
                        <a:rPr lang="en-US" sz="1200" b="0" i="0" u="none" strike="noStrike">
                          <a:solidFill>
                            <a:schemeClr val="bg1"/>
                          </a:solidFill>
                          <a:latin typeface="Arial Black" panose="020B0A04020102020204" pitchFamily="34" charset="0"/>
                          <a:ea typeface="Calibri"/>
                          <a:cs typeface="Calibri"/>
                        </a:rPr>
                        <a:pPr/>
                        <a:t>Rp381.736.400</a:t>
                      </a:fld>
                      <a:endParaRPr lang="en-ID" sz="2800">
                        <a:solidFill>
                          <a:schemeClr val="bg1"/>
                        </a:solidFill>
                        <a:latin typeface="Arial Black" panose="020B0A04020102020204" pitchFamily="34" charset="0"/>
                      </a:endParaRPr>
                    </a:p>
                  </xdr:txBody>
                </xdr:sp>
                <xdr:sp macro="" textlink="$BJ$36">
                  <xdr:nvSpPr>
                    <xdr:cNvPr id="60" name="TextBox 59">
                      <a:extLst>
                        <a:ext uri="{FF2B5EF4-FFF2-40B4-BE49-F238E27FC236}">
                          <a16:creationId xmlns:a16="http://schemas.microsoft.com/office/drawing/2014/main" id="{905859A8-9061-E04A-AA68-20AC25F063D4}"/>
                        </a:ext>
                      </a:extLst>
                    </xdr:cNvPr>
                    <xdr:cNvSpPr txBox="1"/>
                  </xdr:nvSpPr>
                  <xdr:spPr>
                    <a:xfrm>
                      <a:off x="7474861" y="2149928"/>
                      <a:ext cx="1443537"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A0642382-DC2E-411C-8F9A-75BA07B1A1C0}" type="TxLink">
                        <a:rPr lang="en-US" sz="1600" b="0" i="0" u="none" strike="noStrike">
                          <a:solidFill>
                            <a:schemeClr val="bg1"/>
                          </a:solidFill>
                          <a:latin typeface="Calibri"/>
                          <a:ea typeface="Calibri"/>
                          <a:cs typeface="Calibri"/>
                        </a:rPr>
                        <a:pPr/>
                        <a:t>Rp381.736.400</a:t>
                      </a:fld>
                      <a:endParaRPr lang="en-ID" sz="3600">
                        <a:solidFill>
                          <a:schemeClr val="bg1"/>
                        </a:solidFill>
                      </a:endParaRPr>
                    </a:p>
                  </xdr:txBody>
                </xdr:sp>
                <xdr:sp macro="" textlink="$BJ$36">
                  <xdr:nvSpPr>
                    <xdr:cNvPr id="61" name="TextBox 60">
                      <a:extLst>
                        <a:ext uri="{FF2B5EF4-FFF2-40B4-BE49-F238E27FC236}">
                          <a16:creationId xmlns:a16="http://schemas.microsoft.com/office/drawing/2014/main" id="{E54261DC-109F-EE00-1D80-0C038B4FC56B}"/>
                        </a:ext>
                      </a:extLst>
                    </xdr:cNvPr>
                    <xdr:cNvSpPr txBox="1"/>
                  </xdr:nvSpPr>
                  <xdr:spPr>
                    <a:xfrm>
                      <a:off x="7438575" y="2113641"/>
                      <a:ext cx="1443537"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A0642382-DC2E-411C-8F9A-75BA07B1A1C0}" type="TxLink">
                        <a:rPr lang="en-US" sz="1600" b="0" i="0" u="none" strike="noStrike">
                          <a:solidFill>
                            <a:schemeClr val="bg1"/>
                          </a:solidFill>
                          <a:latin typeface="Calibri"/>
                          <a:ea typeface="Calibri"/>
                          <a:cs typeface="Calibri"/>
                        </a:rPr>
                        <a:pPr/>
                        <a:t>Rp381.736.400</a:t>
                      </a:fld>
                      <a:endParaRPr lang="en-ID" sz="3600">
                        <a:solidFill>
                          <a:schemeClr val="bg1"/>
                        </a:solidFill>
                      </a:endParaRPr>
                    </a:p>
                  </xdr:txBody>
                </xdr:sp>
              </xdr:grpSp>
            </xdr:grpSp>
            <xdr:grpSp>
              <xdr:nvGrpSpPr>
                <xdr:cNvPr id="56" name="Group 55">
                  <a:extLst>
                    <a:ext uri="{FF2B5EF4-FFF2-40B4-BE49-F238E27FC236}">
                      <a16:creationId xmlns:a16="http://schemas.microsoft.com/office/drawing/2014/main" id="{EA0B04FC-45CB-BB30-09A7-B91F18BDC2E4}"/>
                    </a:ext>
                  </a:extLst>
                </xdr:cNvPr>
                <xdr:cNvGrpSpPr/>
              </xdr:nvGrpSpPr>
              <xdr:grpSpPr>
                <a:xfrm>
                  <a:off x="5733999" y="1294019"/>
                  <a:ext cx="3408086" cy="1433286"/>
                  <a:chOff x="4043200" y="1312161"/>
                  <a:chExt cx="3401858" cy="1433286"/>
                </a:xfrm>
              </xdr:grpSpPr>
              <xdr:sp macro="" textlink="">
                <xdr:nvSpPr>
                  <xdr:cNvPr id="57" name="Rectangle: Rounded Corners 56">
                    <a:extLst>
                      <a:ext uri="{FF2B5EF4-FFF2-40B4-BE49-F238E27FC236}">
                        <a16:creationId xmlns:a16="http://schemas.microsoft.com/office/drawing/2014/main" id="{34E1F535-2137-1876-CD42-58A715EB22DA}"/>
                      </a:ext>
                    </a:extLst>
                  </xdr:cNvPr>
                  <xdr:cNvSpPr/>
                </xdr:nvSpPr>
                <xdr:spPr>
                  <a:xfrm>
                    <a:off x="4043200" y="1312161"/>
                    <a:ext cx="1614714" cy="1433286"/>
                  </a:xfrm>
                  <a:prstGeom prst="roundRect">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D" sz="1200"/>
                  </a:p>
                  <a:p>
                    <a:pPr algn="ctr"/>
                    <a:endParaRPr lang="en-ID" sz="1200"/>
                  </a:p>
                  <a:p>
                    <a:pPr algn="ctr"/>
                    <a:endParaRPr lang="en-ID" sz="1200"/>
                  </a:p>
                </xdr:txBody>
              </xdr:sp>
              <xdr:sp macro="" textlink="$BJ$32">
                <xdr:nvSpPr>
                  <xdr:cNvPr id="58" name="TextBox 57">
                    <a:extLst>
                      <a:ext uri="{FF2B5EF4-FFF2-40B4-BE49-F238E27FC236}">
                        <a16:creationId xmlns:a16="http://schemas.microsoft.com/office/drawing/2014/main" id="{F33C8F98-686E-3EBA-ACE9-6058DE6873C4}"/>
                      </a:ext>
                    </a:extLst>
                  </xdr:cNvPr>
                  <xdr:cNvSpPr txBox="1"/>
                </xdr:nvSpPr>
                <xdr:spPr>
                  <a:xfrm>
                    <a:off x="4487640" y="2282803"/>
                    <a:ext cx="798949" cy="3093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30DA20A7-86A7-4EF3-ADDE-D69DC9912EC6}" type="TxLink">
                      <a:rPr lang="en-US" sz="1200" b="0" i="0" u="none" strike="noStrike">
                        <a:solidFill>
                          <a:schemeClr val="bg1"/>
                        </a:solidFill>
                        <a:latin typeface="Arial Black" panose="020B0A04020102020204" pitchFamily="34" charset="0"/>
                        <a:ea typeface="Calibri"/>
                        <a:cs typeface="Calibri"/>
                      </a:rPr>
                      <a:pPr/>
                      <a:t>97,47%</a:t>
                    </a:fld>
                    <a:endParaRPr lang="en-ID" sz="4000">
                      <a:solidFill>
                        <a:schemeClr val="bg1"/>
                      </a:solidFill>
                      <a:latin typeface="Arial Black" panose="020B0A04020102020204" pitchFamily="34" charset="0"/>
                    </a:endParaRPr>
                  </a:p>
                </xdr:txBody>
              </xdr:sp>
              <xdr:sp macro="" textlink="">
                <xdr:nvSpPr>
                  <xdr:cNvPr id="59" name="Rectangle: Rounded Corners 58">
                    <a:extLst>
                      <a:ext uri="{FF2B5EF4-FFF2-40B4-BE49-F238E27FC236}">
                        <a16:creationId xmlns:a16="http://schemas.microsoft.com/office/drawing/2014/main" id="{DB603F80-1C07-ABD7-B181-89B5332394D0}"/>
                      </a:ext>
                    </a:extLst>
                  </xdr:cNvPr>
                  <xdr:cNvSpPr/>
                </xdr:nvSpPr>
                <xdr:spPr>
                  <a:xfrm>
                    <a:off x="5830344" y="1312161"/>
                    <a:ext cx="1614714" cy="1433286"/>
                  </a:xfrm>
                  <a:prstGeom prst="roundRect">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D" sz="1600"/>
                  </a:p>
                  <a:p>
                    <a:pPr algn="ctr"/>
                    <a:endParaRPr lang="en-ID" sz="1600"/>
                  </a:p>
                  <a:p>
                    <a:pPr algn="ctr"/>
                    <a:r>
                      <a:rPr lang="en-ID" sz="1200">
                        <a:latin typeface="Arial Black" panose="020B0A04020102020204" pitchFamily="34" charset="0"/>
                      </a:rPr>
                      <a:t>SISA BUDGET</a:t>
                    </a:r>
                  </a:p>
                </xdr:txBody>
              </xdr:sp>
            </xdr:grpSp>
          </xdr:grpSp>
          <xdr:sp macro="" textlink="$BN$17">
            <xdr:nvSpPr>
              <xdr:cNvPr id="62" name="TextBox 61">
                <a:extLst>
                  <a:ext uri="{FF2B5EF4-FFF2-40B4-BE49-F238E27FC236}">
                    <a16:creationId xmlns:a16="http://schemas.microsoft.com/office/drawing/2014/main" id="{7D7D66B0-1857-86A0-066D-F7BB893FCCE5}"/>
                  </a:ext>
                </a:extLst>
              </xdr:cNvPr>
              <xdr:cNvSpPr txBox="1"/>
            </xdr:nvSpPr>
            <xdr:spPr>
              <a:xfrm>
                <a:off x="7652940" y="2279611"/>
                <a:ext cx="1227100" cy="31184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D78B2138-6E3B-43D3-B1CA-AAB864103BB7}" type="TxLink">
                  <a:rPr lang="en-US" sz="1200" b="0" i="0" u="none" strike="noStrike">
                    <a:solidFill>
                      <a:schemeClr val="bg1"/>
                    </a:solidFill>
                    <a:latin typeface="Arial Black" panose="020B0A04020102020204" pitchFamily="34" charset="0"/>
                    <a:ea typeface="Calibri"/>
                    <a:cs typeface="Calibri"/>
                  </a:rPr>
                  <a:pPr/>
                  <a:t>Rp9.894.237</a:t>
                </a:fld>
                <a:endParaRPr lang="en-ID" sz="1200">
                  <a:solidFill>
                    <a:schemeClr val="bg1"/>
                  </a:solidFill>
                  <a:latin typeface="Arial Black" panose="020B0A04020102020204" pitchFamily="34" charset="0"/>
                </a:endParaRPr>
              </a:p>
            </xdr:txBody>
          </xdr:sp>
        </xdr:grpSp>
        <xdr:pic>
          <xdr:nvPicPr>
            <xdr:cNvPr id="5" name="Graphic 4" descr="Coins">
              <a:extLst>
                <a:ext uri="{FF2B5EF4-FFF2-40B4-BE49-F238E27FC236}">
                  <a16:creationId xmlns:a16="http://schemas.microsoft.com/office/drawing/2014/main" id="{597443D9-32B0-E1CE-6521-D70447167306}"/>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097643" y="1496786"/>
              <a:ext cx="553357" cy="553357"/>
            </a:xfrm>
            <a:prstGeom prst="rect">
              <a:avLst/>
            </a:prstGeom>
          </xdr:spPr>
        </xdr:pic>
        <xdr:pic>
          <xdr:nvPicPr>
            <xdr:cNvPr id="7" name="Graphic 6" descr="Money">
              <a:extLst>
                <a:ext uri="{FF2B5EF4-FFF2-40B4-BE49-F238E27FC236}">
                  <a16:creationId xmlns:a16="http://schemas.microsoft.com/office/drawing/2014/main" id="{362121B9-AAC3-69FE-5FFA-C7A8EF26823B}"/>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2831687" y="1462099"/>
              <a:ext cx="825500" cy="633186"/>
            </a:xfrm>
            <a:prstGeom prst="rect">
              <a:avLst/>
            </a:prstGeom>
          </xdr:spPr>
        </xdr:pic>
        <xdr:pic>
          <xdr:nvPicPr>
            <xdr:cNvPr id="15" name="Graphic 14" descr="Circles with arrows">
              <a:extLst>
                <a:ext uri="{FF2B5EF4-FFF2-40B4-BE49-F238E27FC236}">
                  <a16:creationId xmlns:a16="http://schemas.microsoft.com/office/drawing/2014/main" id="{F16E4AD3-EA85-D336-7E6B-09AC85469410}"/>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4743789" y="1424212"/>
              <a:ext cx="789214" cy="680357"/>
            </a:xfrm>
            <a:prstGeom prst="rect">
              <a:avLst/>
            </a:prstGeom>
          </xdr:spPr>
        </xdr:pic>
        <xdr:pic>
          <xdr:nvPicPr>
            <xdr:cNvPr id="17" name="Graphic 16" descr="Upward trend">
              <a:extLst>
                <a:ext uri="{FF2B5EF4-FFF2-40B4-BE49-F238E27FC236}">
                  <a16:creationId xmlns:a16="http://schemas.microsoft.com/office/drawing/2014/main" id="{839C40BA-A347-4AF8-7C75-3D2003646A48}"/>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6419309" y="1510653"/>
              <a:ext cx="743857" cy="551543"/>
            </a:xfrm>
            <a:prstGeom prst="rect">
              <a:avLst/>
            </a:prstGeom>
          </xdr:spPr>
        </xdr:pic>
        <xdr:pic>
          <xdr:nvPicPr>
            <xdr:cNvPr id="19" name="Graphic 18" descr="Wallet">
              <a:extLst>
                <a:ext uri="{FF2B5EF4-FFF2-40B4-BE49-F238E27FC236}">
                  <a16:creationId xmlns:a16="http://schemas.microsoft.com/office/drawing/2014/main" id="{67ED0559-34BF-CA9D-75FA-0F25D0F0EBEC}"/>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8351420" y="1408750"/>
              <a:ext cx="671285" cy="653142"/>
            </a:xfrm>
            <a:prstGeom prst="rect">
              <a:avLst/>
            </a:prstGeom>
          </xdr:spPr>
        </xdr:pic>
        <xdr:pic>
          <xdr:nvPicPr>
            <xdr:cNvPr id="23" name="Graphic 22" descr="Database">
              <a:extLst>
                <a:ext uri="{FF2B5EF4-FFF2-40B4-BE49-F238E27FC236}">
                  <a16:creationId xmlns:a16="http://schemas.microsoft.com/office/drawing/2014/main" id="{614B6DA1-6090-437D-4F52-BAEB0039F4A8}"/>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8381999" y="263072"/>
              <a:ext cx="914400" cy="914400"/>
            </a:xfrm>
            <a:prstGeom prst="rect">
              <a:avLst/>
            </a:prstGeom>
          </xdr:spPr>
        </xdr:pic>
      </xdr:grpSp>
      <xdr:sp macro="" textlink="">
        <xdr:nvSpPr>
          <xdr:cNvPr id="29" name="TextBox 28">
            <a:extLst>
              <a:ext uri="{FF2B5EF4-FFF2-40B4-BE49-F238E27FC236}">
                <a16:creationId xmlns:a16="http://schemas.microsoft.com/office/drawing/2014/main" id="{6F729CF9-81ED-BEA9-EC46-28BDFB0EB084}"/>
              </a:ext>
            </a:extLst>
          </xdr:cNvPr>
          <xdr:cNvSpPr txBox="1"/>
        </xdr:nvSpPr>
        <xdr:spPr>
          <a:xfrm>
            <a:off x="2279239" y="2152435"/>
            <a:ext cx="1504951" cy="271236"/>
          </a:xfrm>
          <a:prstGeom prst="rect">
            <a:avLst/>
          </a:prstGeom>
          <a:solidFill>
            <a:srgbClr val="FF0000"/>
          </a:solidFill>
          <a:ln>
            <a:solidFill>
              <a:srgbClr val="FF0000"/>
            </a:solid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r>
              <a:rPr lang="en-ID" sz="1100">
                <a:solidFill>
                  <a:schemeClr val="bg1"/>
                </a:solidFill>
                <a:latin typeface="Arial Black" panose="020B0A04020102020204" pitchFamily="34" charset="0"/>
              </a:rPr>
              <a:t>TOTAL BUDGET</a:t>
            </a:r>
          </a:p>
        </xdr:txBody>
      </xdr:sp>
      <xdr:sp macro="" textlink="">
        <xdr:nvSpPr>
          <xdr:cNvPr id="32" name="TextBox 31">
            <a:extLst>
              <a:ext uri="{FF2B5EF4-FFF2-40B4-BE49-F238E27FC236}">
                <a16:creationId xmlns:a16="http://schemas.microsoft.com/office/drawing/2014/main" id="{DC5B8653-CB6B-D02B-996E-52A36BA8ABE1}"/>
              </a:ext>
            </a:extLst>
          </xdr:cNvPr>
          <xdr:cNvSpPr txBox="1"/>
        </xdr:nvSpPr>
        <xdr:spPr>
          <a:xfrm>
            <a:off x="6022477" y="2038782"/>
            <a:ext cx="1504951" cy="561521"/>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D" sz="1100">
                <a:solidFill>
                  <a:schemeClr val="bg1"/>
                </a:solidFill>
                <a:latin typeface="Arial Black" panose="020B0A04020102020204" pitchFamily="34" charset="0"/>
              </a:rPr>
              <a:t>PENYERAPAN ANGGARAN</a:t>
            </a:r>
          </a:p>
        </xdr:txBody>
      </xdr:sp>
      <xdr:sp macro="" textlink="">
        <xdr:nvSpPr>
          <xdr:cNvPr id="33" name="TextBox 32">
            <a:extLst>
              <a:ext uri="{FF2B5EF4-FFF2-40B4-BE49-F238E27FC236}">
                <a16:creationId xmlns:a16="http://schemas.microsoft.com/office/drawing/2014/main" id="{3E4EAAC4-0A4B-4FFE-A63B-D881F19180F9}"/>
              </a:ext>
            </a:extLst>
          </xdr:cNvPr>
          <xdr:cNvSpPr txBox="1"/>
        </xdr:nvSpPr>
        <xdr:spPr>
          <a:xfrm>
            <a:off x="4206988" y="2067152"/>
            <a:ext cx="1504951" cy="590776"/>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D" sz="1100">
                <a:solidFill>
                  <a:schemeClr val="bg1"/>
                </a:solidFill>
                <a:latin typeface="Arial Black" panose="020B0A04020102020204" pitchFamily="34" charset="0"/>
              </a:rPr>
              <a:t>REALISASI</a:t>
            </a:r>
            <a:r>
              <a:rPr lang="en-ID" sz="1100" baseline="0">
                <a:solidFill>
                  <a:schemeClr val="bg1"/>
                </a:solidFill>
                <a:latin typeface="Arial Black" panose="020B0A04020102020204" pitchFamily="34" charset="0"/>
              </a:rPr>
              <a:t> ANGGARAN</a:t>
            </a:r>
            <a:endParaRPr lang="en-ID" sz="1100">
              <a:solidFill>
                <a:schemeClr val="bg1"/>
              </a:solidFill>
              <a:latin typeface="Arial Black" panose="020B0A04020102020204" pitchFamily="34" charset="0"/>
            </a:endParaRPr>
          </a:p>
        </xdr:txBody>
      </xdr: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259.288913773147" createdVersion="8" refreshedVersion="8" minRefreshableVersion="3" recordCount="213" xr:uid="{E513FDAB-8055-4EB2-ABF9-A73D558CD482}">
  <cacheSource type="worksheet">
    <worksheetSource ref="A6:D225" sheet="DATA CASH"/>
  </cacheSource>
  <cacheFields count="6">
    <cacheField name="TANGGAL" numFmtId="169">
      <sharedItems containsSemiMixedTypes="0" containsNonDate="0" containsDate="1" containsString="0" minDate="2026-01-07T00:00:00" maxDate="2026-08-22T00:00:00" count="108">
        <d v="2026-01-07T00:00:00"/>
        <d v="2026-01-15T00:00:00"/>
        <d v="2026-01-19T00:00:00"/>
        <d v="2026-01-26T00:00:00"/>
        <d v="2026-01-27T00:00:00"/>
        <d v="2026-01-28T00:00:00"/>
        <d v="2026-01-30T00:00:00"/>
        <d v="2026-01-31T00:00:00"/>
        <d v="2026-02-04T00:00:00"/>
        <d v="2026-02-06T00:00:00"/>
        <d v="2026-02-07T00:00:00"/>
        <d v="2026-02-08T00:00:00"/>
        <d v="2026-02-09T00:00:00"/>
        <d v="2026-02-10T00:00:00"/>
        <d v="2026-02-11T00:00:00"/>
        <d v="2026-02-18T00:00:00"/>
        <d v="2026-02-20T00:00:00"/>
        <d v="2026-02-22T00:00:00"/>
        <d v="2026-02-24T00:00:00"/>
        <d v="2026-02-25T00:00:00"/>
        <d v="2026-02-28T00:00:00"/>
        <d v="2026-03-01T00:00:00"/>
        <d v="2026-03-02T00:00:00"/>
        <d v="2026-03-04T00:00:00"/>
        <d v="2026-03-05T00:00:00"/>
        <d v="2026-03-06T00:00:00"/>
        <d v="2026-03-10T00:00:00"/>
        <d v="2026-03-13T00:00:00"/>
        <d v="2026-03-14T00:00:00"/>
        <d v="2026-03-15T00:00:00"/>
        <d v="2026-03-16T00:00:00"/>
        <d v="2026-03-17T00:00:00"/>
        <d v="2026-03-18T00:00:00"/>
        <d v="2026-03-19T00:00:00"/>
        <d v="2026-03-20T00:00:00"/>
        <d v="2026-03-24T00:00:00"/>
        <d v="2026-03-25T00:00:00"/>
        <d v="2026-03-27T00:00:00"/>
        <d v="2026-03-28T00:00:00"/>
        <d v="2026-03-29T00:00:00"/>
        <d v="2026-03-30T00:00:00"/>
        <d v="2026-03-31T00:00:00"/>
        <d v="2026-04-03T00:00:00"/>
        <d v="2026-04-04T00:00:00"/>
        <d v="2026-04-05T00:00:00"/>
        <d v="2026-04-07T00:00:00"/>
        <d v="2026-04-08T00:00:00"/>
        <d v="2026-04-09T00:00:00"/>
        <d v="2026-04-10T00:00:00"/>
        <d v="2026-04-13T00:00:00"/>
        <d v="2026-04-14T00:00:00"/>
        <d v="2026-04-15T00:00:00"/>
        <d v="2026-04-16T00:00:00"/>
        <d v="2026-04-17T00:00:00"/>
        <d v="2026-04-18T00:00:00"/>
        <d v="2026-04-19T00:00:00"/>
        <d v="2026-04-20T00:00:00"/>
        <d v="2026-04-21T00:00:00"/>
        <d v="2026-04-22T00:00:00"/>
        <d v="2026-04-23T00:00:00"/>
        <d v="2026-04-24T00:00:00"/>
        <d v="2026-04-27T00:00:00"/>
        <d v="2026-04-29T00:00:00"/>
        <d v="2026-04-30T00:00:00"/>
        <d v="2026-05-01T00:00:00"/>
        <d v="2026-05-02T00:00:00"/>
        <d v="2026-05-03T00:00:00"/>
        <d v="2026-05-04T00:00:00"/>
        <d v="2026-05-05T00:00:00"/>
        <d v="2026-05-06T00:00:00"/>
        <d v="2026-05-07T00:00:00"/>
        <d v="2026-05-08T00:00:00"/>
        <d v="2026-05-10T00:00:00"/>
        <d v="2026-05-11T00:00:00"/>
        <d v="2026-05-13T00:00:00"/>
        <d v="2026-05-15T00:00:00"/>
        <d v="2026-05-16T00:00:00"/>
        <d v="2026-05-17T00:00:00"/>
        <d v="2026-05-18T00:00:00"/>
        <d v="2026-05-19T00:00:00"/>
        <d v="2026-05-20T00:00:00"/>
        <d v="2026-05-23T00:00:00"/>
        <d v="2026-05-25T00:00:00"/>
        <d v="2026-05-26T00:00:00"/>
        <d v="2026-05-31T00:00:00"/>
        <d v="2026-06-02T00:00:00"/>
        <d v="2026-06-04T00:00:00"/>
        <d v="2026-06-05T00:00:00"/>
        <d v="2026-06-06T00:00:00"/>
        <d v="2026-06-09T00:00:00"/>
        <d v="2026-06-10T00:00:00"/>
        <d v="2026-06-11T00:00:00"/>
        <d v="2026-06-12T00:00:00"/>
        <d v="2026-06-13T00:00:00"/>
        <d v="2026-06-14T00:00:00"/>
        <d v="2026-06-15T00:00:00"/>
        <d v="2026-06-18T00:00:00"/>
        <d v="2026-06-23T00:00:00"/>
        <d v="2026-07-21T00:00:00"/>
        <d v="2026-07-23T00:00:00"/>
        <d v="2026-07-27T00:00:00"/>
        <d v="2026-08-05T00:00:00"/>
        <d v="2026-08-06T00:00:00"/>
        <d v="2026-08-07T00:00:00"/>
        <d v="2026-08-08T00:00:00"/>
        <d v="2026-08-10T00:00:00"/>
        <d v="2026-08-11T00:00:00"/>
        <d v="2026-08-21T00:00:00"/>
      </sharedItems>
      <fieldGroup par="5"/>
    </cacheField>
    <cacheField name="KETERANGAN" numFmtId="0">
      <sharedItems/>
    </cacheField>
    <cacheField name="JENIS DATA" numFmtId="0">
      <sharedItems containsBlank="1" count="3">
        <s v="KAS KELUAR"/>
        <s v="KAS MASUK"/>
        <m u="1"/>
      </sharedItems>
    </cacheField>
    <cacheField name="CATATAN KAS" numFmtId="3">
      <sharedItems containsSemiMixedTypes="0" containsString="0" containsNumber="1" minValue="25000" maxValue="54398183"/>
    </cacheField>
    <cacheField name="Days (TANGGAL)" numFmtId="0" databaseField="0">
      <fieldGroup base="0">
        <rangePr groupBy="days" startDate="2026-01-07T00:00:00" endDate="2026-08-22T00:00:00"/>
        <groupItems count="368">
          <s v="&lt;07/01/2026"/>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2/08/2026"/>
        </groupItems>
      </fieldGroup>
    </cacheField>
    <cacheField name="Months (TANGGAL)" numFmtId="0" databaseField="0">
      <fieldGroup base="0">
        <rangePr groupBy="months" startDate="2026-01-07T00:00:00" endDate="2026-08-22T00:00:00"/>
        <groupItems count="14">
          <s v="&lt;07/01/2026"/>
          <s v="Jan"/>
          <s v="Feb"/>
          <s v="Mar"/>
          <s v="Apr"/>
          <s v="May"/>
          <s v="Jun"/>
          <s v="Jul"/>
          <s v="Aug"/>
          <s v="Sep"/>
          <s v="Oct"/>
          <s v="Nov"/>
          <s v="Dec"/>
          <s v="&gt;22/08/2026"/>
        </groupItems>
      </fieldGroup>
    </cacheField>
  </cacheFields>
  <extLst>
    <ext xmlns:x14="http://schemas.microsoft.com/office/spreadsheetml/2009/9/main" uri="{725AE2AE-9491-48be-B2B4-4EB974FC3084}">
      <x14:pivotCacheDefinition pivotCacheId="158439148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260.312014351854" createdVersion="8" refreshedVersion="8" minRefreshableVersion="3" recordCount="8" xr:uid="{4271DB5F-FE6C-4E96-B7B1-256D2F4B5D5C}">
  <cacheSource type="worksheet">
    <worksheetSource name="Table3__2"/>
  </cacheSource>
  <cacheFields count="7">
    <cacheField name="NO" numFmtId="0">
      <sharedItems containsSemiMixedTypes="0" containsString="0" containsNumber="1" containsInteger="1" minValue="1" maxValue="8"/>
    </cacheField>
    <cacheField name="JENIS PEKERJAAN" numFmtId="0">
      <sharedItems/>
    </cacheField>
    <cacheField name="NAMA PEKERJAAN" numFmtId="0">
      <sharedItems count="8">
        <s v="PENGADAAN DAN PEMASANGAN PEKERJAAN NODE-B JNP037 JNP067 WITEL MAKASSAR"/>
        <s v="PENGADAAN DAN PEMASANGAN PEKERJAAN NODE-B 8 LOP BRANCH MAKASSAR"/>
        <s v="PENGADAAN DAN PEMASANGAN PEKERJAAN NODE-B 6 LOP BRANCH MAKASSAR"/>
        <s v="PENGADAAN DAN PEMASANGAN PEKERJAAN MITRATEL WO#234 BRANCH MAKASSAR"/>
        <s v="PENGADAAN DAN PEMASANGAN PEKERJAAN NODE-B 1 LOP WTP192 BRANCH MAKASSAR"/>
        <s v="PENGADAAN DAN PEMASANGAN PEKERJAAN JPP 4 LOP WITEL MAKASSAR"/>
        <s v="PENGADAAN DAN PEMASANGAN PEKERJAAN HEM 4 LOP BRANCH MAKASSAR"/>
        <s v="PENGADAAN DAN PEMASANGAN PEKERJAAN NODE B 2 LOP BRANCH MAKASSAR"/>
      </sharedItems>
    </cacheField>
    <cacheField name="NO SP" numFmtId="0">
      <sharedItems/>
    </cacheField>
    <cacheField name="TANGGAL" numFmtId="14">
      <sharedItems containsDate="1" containsMixedTypes="1" minDate="2026-01-23T00:00:00" maxDate="2026-06-11T00:00:00"/>
    </cacheField>
    <cacheField name="NILAI" numFmtId="3">
      <sharedItems containsSemiMixedTypes="0" containsString="0" containsNumber="1" containsInteger="1" minValue="8898600" maxValue="383651594"/>
    </cacheField>
    <cacheField name="KETERANGAN" numFmtId="0">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272.433897800925" createdVersion="8" refreshedVersion="8" minRefreshableVersion="3" recordCount="219" xr:uid="{66F1227D-22CF-42DA-BDF0-BD88D3F2AE09}">
  <cacheSource type="worksheet">
    <worksheetSource name="Table3"/>
  </cacheSource>
  <cacheFields count="6">
    <cacheField name="TANGGAL" numFmtId="169">
      <sharedItems containsSemiMixedTypes="0" containsNonDate="0" containsDate="1" containsString="0" minDate="2026-01-07T00:00:00" maxDate="2026-09-04T00:00:00" count="111">
        <d v="2026-01-07T00:00:00"/>
        <d v="2026-01-15T00:00:00"/>
        <d v="2026-01-19T00:00:00"/>
        <d v="2026-01-26T00:00:00"/>
        <d v="2026-01-27T00:00:00"/>
        <d v="2026-01-28T00:00:00"/>
        <d v="2026-01-30T00:00:00"/>
        <d v="2026-01-31T00:00:00"/>
        <d v="2026-02-04T00:00:00"/>
        <d v="2026-02-06T00:00:00"/>
        <d v="2026-02-07T00:00:00"/>
        <d v="2026-02-08T00:00:00"/>
        <d v="2026-02-09T00:00:00"/>
        <d v="2026-02-10T00:00:00"/>
        <d v="2026-02-11T00:00:00"/>
        <d v="2026-02-18T00:00:00"/>
        <d v="2026-02-20T00:00:00"/>
        <d v="2026-02-22T00:00:00"/>
        <d v="2026-02-24T00:00:00"/>
        <d v="2026-02-25T00:00:00"/>
        <d v="2026-02-28T00:00:00"/>
        <d v="2026-03-01T00:00:00"/>
        <d v="2026-03-02T00:00:00"/>
        <d v="2026-03-04T00:00:00"/>
        <d v="2026-03-05T00:00:00"/>
        <d v="2026-03-06T00:00:00"/>
        <d v="2026-03-10T00:00:00"/>
        <d v="2026-03-13T00:00:00"/>
        <d v="2026-03-14T00:00:00"/>
        <d v="2026-03-15T00:00:00"/>
        <d v="2026-03-16T00:00:00"/>
        <d v="2026-03-17T00:00:00"/>
        <d v="2026-03-18T00:00:00"/>
        <d v="2026-03-19T00:00:00"/>
        <d v="2026-03-20T00:00:00"/>
        <d v="2026-03-24T00:00:00"/>
        <d v="2026-03-25T00:00:00"/>
        <d v="2026-03-27T00:00:00"/>
        <d v="2026-03-28T00:00:00"/>
        <d v="2026-03-29T00:00:00"/>
        <d v="2026-03-30T00:00:00"/>
        <d v="2026-03-31T00:00:00"/>
        <d v="2026-04-03T00:00:00"/>
        <d v="2026-04-04T00:00:00"/>
        <d v="2026-04-05T00:00:00"/>
        <d v="2026-04-07T00:00:00"/>
        <d v="2026-04-08T00:00:00"/>
        <d v="2026-04-09T00:00:00"/>
        <d v="2026-04-10T00:00:00"/>
        <d v="2026-04-13T00:00:00"/>
        <d v="2026-04-14T00:00:00"/>
        <d v="2026-04-15T00:00:00"/>
        <d v="2026-04-16T00:00:00"/>
        <d v="2026-04-17T00:00:00"/>
        <d v="2026-04-18T00:00:00"/>
        <d v="2026-04-19T00:00:00"/>
        <d v="2026-04-20T00:00:00"/>
        <d v="2026-04-21T00:00:00"/>
        <d v="2026-04-22T00:00:00"/>
        <d v="2026-04-23T00:00:00"/>
        <d v="2026-04-24T00:00:00"/>
        <d v="2026-04-27T00:00:00"/>
        <d v="2026-04-29T00:00:00"/>
        <d v="2026-04-30T00:00:00"/>
        <d v="2026-05-01T00:00:00"/>
        <d v="2026-05-02T00:00:00"/>
        <d v="2026-05-03T00:00:00"/>
        <d v="2026-05-04T00:00:00"/>
        <d v="2026-05-05T00:00:00"/>
        <d v="2026-05-06T00:00:00"/>
        <d v="2026-05-07T00:00:00"/>
        <d v="2026-05-08T00:00:00"/>
        <d v="2026-05-10T00:00:00"/>
        <d v="2026-05-11T00:00:00"/>
        <d v="2026-05-13T00:00:00"/>
        <d v="2026-05-15T00:00:00"/>
        <d v="2026-05-16T00:00:00"/>
        <d v="2026-05-17T00:00:00"/>
        <d v="2026-05-18T00:00:00"/>
        <d v="2026-05-19T00:00:00"/>
        <d v="2026-05-20T00:00:00"/>
        <d v="2026-05-23T00:00:00"/>
        <d v="2026-05-25T00:00:00"/>
        <d v="2026-05-26T00:00:00"/>
        <d v="2026-05-31T00:00:00"/>
        <d v="2026-06-02T00:00:00"/>
        <d v="2026-06-04T00:00:00"/>
        <d v="2026-06-05T00:00:00"/>
        <d v="2026-06-06T00:00:00"/>
        <d v="2026-06-09T00:00:00"/>
        <d v="2026-06-10T00:00:00"/>
        <d v="2026-06-11T00:00:00"/>
        <d v="2026-06-12T00:00:00"/>
        <d v="2026-06-13T00:00:00"/>
        <d v="2026-06-14T00:00:00"/>
        <d v="2026-06-15T00:00:00"/>
        <d v="2026-06-18T00:00:00"/>
        <d v="2026-06-23T00:00:00"/>
        <d v="2026-07-21T00:00:00"/>
        <d v="2026-07-23T00:00:00"/>
        <d v="2026-07-27T00:00:00"/>
        <d v="2026-08-05T00:00:00"/>
        <d v="2026-08-06T00:00:00"/>
        <d v="2026-08-07T00:00:00"/>
        <d v="2026-08-08T00:00:00"/>
        <d v="2026-08-10T00:00:00"/>
        <d v="2026-08-11T00:00:00"/>
        <d v="2026-08-21T00:00:00"/>
        <d v="2026-08-27T00:00:00"/>
        <d v="2026-09-01T00:00:00"/>
        <d v="2026-09-03T00:00:00"/>
      </sharedItems>
      <fieldGroup par="5"/>
    </cacheField>
    <cacheField name="KETERANGAN" numFmtId="0">
      <sharedItems/>
    </cacheField>
    <cacheField name="JENIS DATA" numFmtId="0">
      <sharedItems count="2">
        <s v="KAS KELUAR"/>
        <s v="KAS MASUK"/>
      </sharedItems>
    </cacheField>
    <cacheField name="CATATAN KAS" numFmtId="3">
      <sharedItems containsSemiMixedTypes="0" containsString="0" containsNumber="1" minValue="25000" maxValue="54398183"/>
    </cacheField>
    <cacheField name="Days (TANGGAL)" numFmtId="0" databaseField="0">
      <fieldGroup base="0">
        <rangePr groupBy="days" startDate="2026-01-07T00:00:00" endDate="2026-09-04T00:00:00"/>
        <groupItems count="368">
          <s v="&lt;07/01/2026"/>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4/09/2026"/>
        </groupItems>
      </fieldGroup>
    </cacheField>
    <cacheField name="Months (TANGGAL)" numFmtId="0" databaseField="0">
      <fieldGroup base="0">
        <rangePr groupBy="months" startDate="2026-01-07T00:00:00" endDate="2026-09-04T00:00:00"/>
        <groupItems count="14">
          <s v="&lt;07/01/2026"/>
          <s v="Jan"/>
          <s v="Feb"/>
          <s v="Mar"/>
          <s v="Apr"/>
          <s v="May"/>
          <s v="Jun"/>
          <s v="Jul"/>
          <s v="Aug"/>
          <s v="Sep"/>
          <s v="Oct"/>
          <s v="Nov"/>
          <s v="Dec"/>
          <s v="&gt;04/09/2026"/>
        </groupItems>
      </fieldGroup>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272.453727546294" createdVersion="8" refreshedVersion="8" minRefreshableVersion="3" recordCount="8" xr:uid="{CE4895BA-D10F-42DC-B856-96CE9287A635}">
  <cacheSource type="worksheet">
    <worksheetSource name="Table4"/>
  </cacheSource>
  <cacheFields count="12">
    <cacheField name="NO" numFmtId="0">
      <sharedItems containsSemiMixedTypes="0" containsString="0" containsNumber="1" containsInteger="1" minValue="1" maxValue="8"/>
    </cacheField>
    <cacheField name="JENIS PEKERJAAN" numFmtId="0">
      <sharedItems count="4">
        <s v="NODE-B"/>
        <s v="MITRATEL"/>
        <s v="JPP MD"/>
        <s v="HEM"/>
      </sharedItems>
    </cacheField>
    <cacheField name="NAMA PEKERJAAN" numFmtId="0">
      <sharedItems count="16">
        <s v="NODE-B JNP037 JNP067 WITEL MAKASSAR"/>
        <s v="NODE-B 8 LOP BRANCH MAKASSAR"/>
        <s v="NODE-B 6 LOP BRANCH MAKASSAR"/>
        <s v="MITRATEL WO#234 BRANCH MAKASSAR"/>
        <s v="NODE-B 1 LOP WTP192 BRANCH MAKASSAR"/>
        <s v="JPP 4 LOP WITEL MAKASSAR"/>
        <s v="HEM 4 LOP BRANCH MAKASSAR"/>
        <s v="NODE B 2 LOP BRANCH MAKASSAR"/>
        <s v="PENGADAAN DAN PEMASANGAN PEKERJAAN NODE-B JNP037 JNP067 WITEL MAKASSAR" u="1"/>
        <s v="PENGADAAN DAN PEMASANGAN PEKERJAAN NODE-B 8 LOP BRANCH MAKASSAR" u="1"/>
        <s v="PENGADAAN DAN PEMASANGAN PEKERJAAN NODE-B 6 LOP BRANCH MAKASSAR" u="1"/>
        <s v="PENGADAAN DAN PEMASANGAN PEKERJAAN MITRATEL WO#234 BRANCH MAKASSAR" u="1"/>
        <s v="PENGADAAN DAN PEMASANGAN PEKERJAAN NODE-B 1 LOP WTP192 BRANCH MAKASSAR" u="1"/>
        <s v="PENGADAAN DAN PEMASANGAN PEKERJAAN JPP 4 LOP WITEL MAKASSAR" u="1"/>
        <s v="PENGADAAN DAN PEMASANGAN PEKERJAAN HEM 4 LOP BRANCH MAKASSAR" u="1"/>
        <s v="PENGADAAN DAN PEMASANGAN PEKERJAAN NODE B 2 LOP BRANCH MAKASSAR" u="1"/>
      </sharedItems>
    </cacheField>
    <cacheField name="NO SP" numFmtId="0">
      <sharedItems/>
    </cacheField>
    <cacheField name="TANGGAL" numFmtId="14">
      <sharedItems containsSemiMixedTypes="0" containsNonDate="0" containsDate="1" containsString="0" minDate="2026-01-23T00:00:00" maxDate="2026-08-31T00:00:00" count="8">
        <d v="2026-01-23T00:00:00"/>
        <d v="2026-03-09T00:00:00"/>
        <d v="2026-04-20T00:00:00"/>
        <d v="2026-04-24T00:00:00"/>
        <d v="2026-05-08T00:00:00"/>
        <d v="2026-05-19T00:00:00"/>
        <d v="2026-06-10T00:00:00"/>
        <d v="2026-08-30T00:00:00"/>
      </sharedItems>
      <fieldGroup par="11"/>
    </cacheField>
    <cacheField name="NILAI BOQ" numFmtId="3">
      <sharedItems containsSemiMixedTypes="0" containsString="0" containsNumber="1" containsInteger="1" minValue="8898600" maxValue="226574650"/>
    </cacheField>
    <cacheField name="BUDGET " numFmtId="3">
      <sharedItems containsSemiMixedTypes="0" containsString="0" containsNumber="1" minValue="6229020" maxValue="158602255"/>
    </cacheField>
    <cacheField name="REALISASI ANGGARAN" numFmtId="3">
      <sharedItems containsSemiMixedTypes="0" containsString="0" containsNumber="1" minValue="4919261" maxValue="168065942"/>
    </cacheField>
    <cacheField name="PRESENTASI PENGGUNAAN" numFmtId="10">
      <sharedItems containsSemiMixedTypes="0" containsString="0" containsNumber="1" minValue="0.78973273484432538" maxValue="1.0596693092415364"/>
    </cacheField>
    <cacheField name="SISA BUDGET" numFmtId="3">
      <sharedItems containsSemiMixedTypes="0" containsString="0" containsNumber="1" minValue="-9463687" maxValue="6606204.5"/>
    </cacheField>
    <cacheField name="Days (TANGGAL)" numFmtId="0" databaseField="0">
      <fieldGroup base="4">
        <rangePr groupBy="days" startDate="2026-01-23T00:00:00" endDate="2026-08-31T00:00:00"/>
        <groupItems count="368">
          <s v="&lt;23/01/2026"/>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1/08/2026"/>
        </groupItems>
      </fieldGroup>
    </cacheField>
    <cacheField name="Months (TANGGAL)" numFmtId="0" databaseField="0">
      <fieldGroup base="4">
        <rangePr groupBy="months" startDate="2026-01-23T00:00:00" endDate="2026-08-31T00:00:00"/>
        <groupItems count="14">
          <s v="&lt;23/01/2026"/>
          <s v="Jan"/>
          <s v="Feb"/>
          <s v="Mar"/>
          <s v="Apr"/>
          <s v="May"/>
          <s v="Jun"/>
          <s v="Jul"/>
          <s v="Aug"/>
          <s v="Sep"/>
          <s v="Oct"/>
          <s v="Nov"/>
          <s v="Dec"/>
          <s v="&gt;31/08/2026"/>
        </groupItems>
      </fieldGroup>
    </cacheField>
  </cacheFields>
  <extLst>
    <ext xmlns:x14="http://schemas.microsoft.com/office/spreadsheetml/2009/9/main" uri="{725AE2AE-9491-48be-B2B4-4EB974FC3084}">
      <x14:pivotCacheDefinition pivotCacheId="671972595"/>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274.584804861108" createdVersion="8" refreshedVersion="8" minRefreshableVersion="3" recordCount="28" xr:uid="{A38F972B-6D79-44BC-9A1F-BCF29CEDE287}">
  <cacheSource type="worksheet">
    <worksheetSource name="Table1_1"/>
  </cacheSource>
  <cacheFields count="13">
    <cacheField name="NO" numFmtId="0">
      <sharedItems containsSemiMixedTypes="0" containsString="0" containsNumber="1" containsInteger="1" minValue="1" maxValue="28"/>
    </cacheField>
    <cacheField name="KATEGORI" numFmtId="0">
      <sharedItems/>
    </cacheField>
    <cacheField name="NAMA LOP" numFmtId="0">
      <sharedItems count="28">
        <s v="JNP037"/>
        <s v="JNP067"/>
        <s v="BLK065"/>
        <s v="BLK044"/>
        <s v="UPD708"/>
        <s v="UPD707"/>
        <s v="UPD718"/>
        <s v="MRS202"/>
        <s v="SNS230"/>
        <s v="SNS231"/>
        <s v="UPD739"/>
        <s v="UPD740"/>
        <s v="UPD736"/>
        <s v="UPD699"/>
        <s v="UPD710"/>
        <s v="UPD663"/>
        <s v="WTP192"/>
        <s v="R5 MKS WTP PT3 MD 1650 CORAWALIE"/>
        <s v="R5 MKS WTP PT3 MD DESA MICO"/>
        <s v="R5 MKS WTP PT3 MD Bone jln Biru"/>
        <s v="R5 MKS WTP PT3 MD PATTIRO RIOLO"/>
        <s v="WO#234 SILANGGA_KARENPIA_PL - TOMBOLO_PAO_AG"/>
        <s v="HEM SATU SAMA JAYA ABADI"/>
        <s v="Site Perwakilan Prov. Sulawesi Selatan (BPK Provinsi Sulawesi Selatan)"/>
        <s v="PT2-BLK-KUA UJUNG BULU"/>
        <s v="Site Balai Diklat Gowa (BDPKN Gowa)"/>
        <s v="UPD770"/>
        <s v="UPD860"/>
      </sharedItems>
    </cacheField>
    <cacheField name="TANGGAL SHARE ORDER" numFmtId="14">
      <sharedItems containsSemiMixedTypes="0" containsNonDate="0" containsDate="1" containsString="0" minDate="2026-01-09T00:00:00" maxDate="2026-07-28T00:00:00" count="15">
        <d v="2026-01-09T00:00:00"/>
        <d v="2026-02-09T00:00:00"/>
        <d v="2026-02-18T00:00:00"/>
        <d v="2026-02-02T00:00:00"/>
        <d v="2026-02-05T00:00:00"/>
        <d v="2026-03-02T00:00:00"/>
        <d v="2026-03-05T00:00:00"/>
        <d v="2026-03-16T00:00:00"/>
        <d v="2026-05-08T00:00:00"/>
        <d v="2026-03-11T00:00:00"/>
        <d v="2026-03-26T00:00:00"/>
        <d v="2026-04-11T00:00:00"/>
        <d v="2026-04-24T00:00:00"/>
        <d v="2026-04-29T00:00:00"/>
        <d v="2026-07-27T00:00:00"/>
      </sharedItems>
      <fieldGroup par="12"/>
    </cacheField>
    <cacheField name="KETERANGAN" numFmtId="0">
      <sharedItems count="8">
        <s v="BAST"/>
        <s v="REKON MATERIAL"/>
        <s v="DROP"/>
        <s v="MENUNGGU BOQ UT"/>
        <s v="UJI TERIMA"/>
        <s v="MENUNGGU JADWAL UT"/>
        <s v="DONE INSTALL 100%"/>
        <s v="VERIFIKASI REGIONAL" u="1"/>
      </sharedItems>
    </cacheField>
    <cacheField name="NILAI" numFmtId="3">
      <sharedItems containsSemiMixedTypes="0" containsString="0" containsNumber="1" containsInteger="1" minValue="278300" maxValue="145297850"/>
    </cacheField>
    <cacheField name="SURVEY" numFmtId="14">
      <sharedItems containsSemiMixedTypes="0" containsNonDate="0" containsDate="1" containsString="0" minDate="2026-01-10T00:00:00" maxDate="2026-07-28T00:00:00"/>
    </cacheField>
    <cacheField name="DRM" numFmtId="3">
      <sharedItems containsSemiMixedTypes="0" containsString="0" containsNumber="1" containsInteger="1" minValue="437590" maxValue="141125804"/>
    </cacheField>
    <cacheField name="NAMA PEKERJAAN" numFmtId="0">
      <sharedItems count="8">
        <s v="PENGADAAN DAN PEMASANGAN PEKERJAAN NODE-B JNP037 JNP067 WITEL MAKASSAR"/>
        <s v="PENGADAAN DAN PEMASANGAN PEKERJAAN NODE-B 8 LOP BRANCH MAKASSAR"/>
        <s v="PENGADAAN DAN PEMASANGAN PEKERJAAN NODE-B 6 LOP BRANCH MAKASSAR"/>
        <s v="PENGADAAN DAN PEMASANGAN PEKERJAAN NODE-B 1 LOP WTP192 BRANCH MAKASSAR"/>
        <s v="PENGADAAN DAN PEMASANGAN PEKERJAAN JPP 4 LOP WITEL MAKASSAR"/>
        <s v="PENGADAAN DAN PEMASANGAN PEKERJAAN MITRATEL WO#234 BRANCH MAKASSAR"/>
        <s v="PENGADAAN DAN PEMASANGAN PEKERJAAN HEM 4 LOP BRANCH MAKASSAR"/>
        <s v="PENGADAAN DAN PEMASANGAN PEKERJAAN NODE B 2 LOP BRANCH MAKASSAR"/>
      </sharedItems>
    </cacheField>
    <cacheField name="PO" numFmtId="0">
      <sharedItems/>
    </cacheField>
    <cacheField name="PRESENTASI PROJECT" numFmtId="9">
      <sharedItems containsMixedTypes="1" containsNumber="1" minValue="0.5" maxValue="0.5"/>
    </cacheField>
    <cacheField name="Days (TANGGAL SHARE ORDER)" numFmtId="0" databaseField="0">
      <fieldGroup base="3">
        <rangePr groupBy="days" startDate="2026-01-09T00:00:00" endDate="2026-07-28T00:00:00"/>
        <groupItems count="368">
          <s v="&lt;09/01/2026"/>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8/07/2026"/>
        </groupItems>
      </fieldGroup>
    </cacheField>
    <cacheField name="Months (TANGGAL SHARE ORDER)" numFmtId="0" databaseField="0">
      <fieldGroup base="3">
        <rangePr groupBy="months" startDate="2026-01-09T00:00:00" endDate="2026-07-28T00:00:00"/>
        <groupItems count="14">
          <s v="&lt;09/01/2026"/>
          <s v="Jan"/>
          <s v="Feb"/>
          <s v="Mar"/>
          <s v="Apr"/>
          <s v="May"/>
          <s v="Jun"/>
          <s v="Jul"/>
          <s v="Aug"/>
          <s v="Sep"/>
          <s v="Oct"/>
          <s v="Nov"/>
          <s v="Dec"/>
          <s v="&gt;28/07/2026"/>
        </groupItems>
      </fieldGroup>
    </cacheField>
  </cacheFields>
  <extLst>
    <ext xmlns:x14="http://schemas.microsoft.com/office/spreadsheetml/2009/9/main" uri="{725AE2AE-9491-48be-B2B4-4EB974FC3084}">
      <x14:pivotCacheDefinition pivotCacheId="25178739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3">
  <r>
    <x v="0"/>
    <s v="PEMBAYARAN WIFI PERIODE JANUARI"/>
    <x v="0"/>
    <n v="263850"/>
  </r>
  <r>
    <x v="1"/>
    <s v="DP MANDOR JNP037"/>
    <x v="0"/>
    <n v="1500000"/>
  </r>
  <r>
    <x v="1"/>
    <s v="NODE B 2 LOP JNP"/>
    <x v="1"/>
    <n v="1500000"/>
  </r>
  <r>
    <x v="2"/>
    <s v="SEWA GUDANG &amp; DP MANDOR JNP067"/>
    <x v="0"/>
    <n v="10000000"/>
  </r>
  <r>
    <x v="2"/>
    <s v="NODE B 2 LOP JNP"/>
    <x v="1"/>
    <n v="10000000"/>
  </r>
  <r>
    <x v="3"/>
    <s v="NODE B 2 LOP JNP"/>
    <x v="1"/>
    <n v="15000000"/>
  </r>
  <r>
    <x v="4"/>
    <s v="KASBON MANDOR"/>
    <x v="0"/>
    <n v="10000000"/>
  </r>
  <r>
    <x v="4"/>
    <s v="OPERASIONAL BENSIN DAN SEWA MOBIL"/>
    <x v="0"/>
    <n v="675000"/>
  </r>
  <r>
    <x v="4"/>
    <s v="BAYARAN JOINTER"/>
    <x v="0"/>
    <n v="1500000"/>
  </r>
  <r>
    <x v="5"/>
    <s v="PEMBELIAN PIPA KONDUIT"/>
    <x v="0"/>
    <n v="300000"/>
  </r>
  <r>
    <x v="6"/>
    <s v="PEMBAYARAN JOINTER"/>
    <x v="0"/>
    <n v="500000"/>
  </r>
  <r>
    <x v="6"/>
    <s v="OPERASIONAL KE JNP"/>
    <x v="0"/>
    <n v="126000"/>
  </r>
  <r>
    <x v="7"/>
    <s v="PELUNASAN MANDOR"/>
    <x v="0"/>
    <n v="19915000"/>
  </r>
  <r>
    <x v="7"/>
    <s v="NODE B 2 LOP JNP"/>
    <x v="1"/>
    <n v="21000000"/>
  </r>
  <r>
    <x v="8"/>
    <s v="PEMBAYARAN JOINTER"/>
    <x v="0"/>
    <n v="500000"/>
  </r>
  <r>
    <x v="9"/>
    <s v="OPERASIONAL KE JNP"/>
    <x v="0"/>
    <n v="500000"/>
  </r>
  <r>
    <x v="10"/>
    <s v="PEMBAYARAN GAJI TEAM PROJECT"/>
    <x v="0"/>
    <n v="4000000"/>
  </r>
  <r>
    <x v="10"/>
    <s v="NODE B 2 LOP JNP"/>
    <x v="1"/>
    <n v="4000000"/>
  </r>
  <r>
    <x v="11"/>
    <s v="OPERASIONAL "/>
    <x v="0"/>
    <n v="200000"/>
  </r>
  <r>
    <x v="12"/>
    <s v="PELUNASAN JOINTER"/>
    <x v="0"/>
    <n v="1000000"/>
  </r>
  <r>
    <x v="13"/>
    <s v="SURVEY BLK065"/>
    <x v="0"/>
    <n v="250000"/>
  </r>
  <r>
    <x v="14"/>
    <s v="SURVEY BLK044"/>
    <x v="0"/>
    <n v="250000"/>
  </r>
  <r>
    <x v="15"/>
    <s v="PEMBAYARAN WIFI KANTOR PERIODE FEBRUARI"/>
    <x v="0"/>
    <n v="263850"/>
  </r>
  <r>
    <x v="16"/>
    <s v="KASBON MANDOR UPD707"/>
    <x v="0"/>
    <n v="500000"/>
  </r>
  <r>
    <x v="17"/>
    <s v="KASBON MANDOR UPD707"/>
    <x v="0"/>
    <n v="250000"/>
  </r>
  <r>
    <x v="18"/>
    <s v="PEMBELIAN SEMEN &amp; KASBON UPD707"/>
    <x v="0"/>
    <n v="200000"/>
  </r>
  <r>
    <x v="19"/>
    <s v="PELUNASAN UPD707"/>
    <x v="0"/>
    <n v="2210000"/>
  </r>
  <r>
    <x v="20"/>
    <s v="KASBON MANDOR UPD718"/>
    <x v="0"/>
    <n v="500000"/>
  </r>
  <r>
    <x v="20"/>
    <s v="NODE B 8 LOP"/>
    <x v="1"/>
    <n v="12000000"/>
  </r>
  <r>
    <x v="21"/>
    <s v="KASBON MANDOR UPD718"/>
    <x v="0"/>
    <n v="100000"/>
  </r>
  <r>
    <x v="22"/>
    <s v="PELUNASAN UPD718"/>
    <x v="0"/>
    <n v="1537500"/>
  </r>
  <r>
    <x v="22"/>
    <s v="KASBON MANDOR MRS202"/>
    <x v="0"/>
    <n v="5000000"/>
  </r>
  <r>
    <x v="23"/>
    <s v="KASBON MANDOR MRS202"/>
    <x v="0"/>
    <n v="1000000"/>
  </r>
  <r>
    <x v="23"/>
    <s v="PEMBELIAN GERGAJI BESI"/>
    <x v="0"/>
    <n v="50000"/>
  </r>
  <r>
    <x v="23"/>
    <s v="CICILAN PEMBAYARAN LABEL PRITN"/>
    <x v="0"/>
    <n v="489486"/>
  </r>
  <r>
    <x v="24"/>
    <s v="TERMINASI UPD718 &amp; UPD707"/>
    <x v="0"/>
    <n v="1440000"/>
  </r>
  <r>
    <x v="25"/>
    <s v="PELUNASAN MRS202"/>
    <x v="0"/>
    <n v="11795000"/>
  </r>
  <r>
    <x v="25"/>
    <s v="OPERASIONAL WASPANG"/>
    <x v="0"/>
    <n v="100000"/>
  </r>
  <r>
    <x v="25"/>
    <s v="PEMBAYARAN GAJI TEAM PROJECT"/>
    <x v="0"/>
    <n v="5000000"/>
  </r>
  <r>
    <x v="25"/>
    <s v="TERMINASI MRS202"/>
    <x v="0"/>
    <n v="1080000"/>
  </r>
  <r>
    <x v="25"/>
    <s v="NODE B 8 LOP"/>
    <x v="1"/>
    <n v="25000000"/>
  </r>
  <r>
    <x v="26"/>
    <s v="KASBON MANDOR BLK065 &amp; BLK044"/>
    <x v="0"/>
    <n v="5000000"/>
  </r>
  <r>
    <x v="27"/>
    <s v="PEMBAYARAN MANDOR PEKERJAAN UPD736 &amp; 710"/>
    <x v="0"/>
    <n v="500000"/>
  </r>
  <r>
    <x v="27"/>
    <s v="KASBON MANDOR BLK065 &amp; BLK044"/>
    <x v="0"/>
    <n v="1500000"/>
  </r>
  <r>
    <x v="28"/>
    <s v="OPERASIONAL TURLAP"/>
    <x v="0"/>
    <n v="100000"/>
  </r>
  <r>
    <x v="28"/>
    <s v="SEWA MOBIL KE BLK"/>
    <x v="0"/>
    <n v="600000"/>
  </r>
  <r>
    <x v="28"/>
    <s v="PENGINAPAN H1 BLK"/>
    <x v="0"/>
    <n v="150000"/>
  </r>
  <r>
    <x v="29"/>
    <s v="KONSUMSI H2 BLK"/>
    <x v="0"/>
    <n v="40000"/>
  </r>
  <r>
    <x v="29"/>
    <s v="BBM BLK"/>
    <x v="0"/>
    <n v="300000"/>
  </r>
  <r>
    <x v="29"/>
    <s v="PENGINAPAN H2 BLK"/>
    <x v="0"/>
    <n v="150000"/>
  </r>
  <r>
    <x v="30"/>
    <s v="PEMBAYARAN MANDOR PEKERJAAN UPD736 &amp; 710"/>
    <x v="0"/>
    <n v="500000"/>
  </r>
  <r>
    <x v="30"/>
    <s v="PEMBAYARAN MANDOR PEKERJAAN UPD736 &amp; 710"/>
    <x v="0"/>
    <n v="1750000"/>
  </r>
  <r>
    <x v="30"/>
    <s v="KONSUMSI H3 BLK"/>
    <x v="0"/>
    <n v="90000"/>
  </r>
  <r>
    <x v="30"/>
    <s v="BBM BLK"/>
    <x v="0"/>
    <n v="200000"/>
  </r>
  <r>
    <x v="30"/>
    <s v="PEMBELIAN TERPAL"/>
    <x v="0"/>
    <n v="35000"/>
  </r>
  <r>
    <x v="31"/>
    <s v="BIAYA PERIJINAN LOP JL BIRU"/>
    <x v="0"/>
    <n v="7000000"/>
  </r>
  <r>
    <x v="31"/>
    <s v="OPERASIONAL PERIJINAN LOP JL BIRU"/>
    <x v="0"/>
    <n v="50000"/>
  </r>
  <r>
    <x v="31"/>
    <s v="PEMBAYARAN WIFI KANTOR"/>
    <x v="0"/>
    <n v="263850"/>
  </r>
  <r>
    <x v="31"/>
    <s v="KASBON JOINTER"/>
    <x v="0"/>
    <n v="500000"/>
  </r>
  <r>
    <x v="31"/>
    <s v="GANTI RUGI MOBIL SEWA LECET"/>
    <x v="0"/>
    <n v="250000"/>
  </r>
  <r>
    <x v="31"/>
    <s v="PELUNASAN MANDOR BLK065 &amp; BLK044"/>
    <x v="0"/>
    <n v="28014000"/>
  </r>
  <r>
    <x v="31"/>
    <s v="NODE B 8 LOP"/>
    <x v="1"/>
    <n v="35000000"/>
  </r>
  <r>
    <x v="31"/>
    <s v="NODE B 6 LOP"/>
    <x v="1"/>
    <n v="6000000"/>
  </r>
  <r>
    <x v="31"/>
    <s v="JPP 4 LOP"/>
    <x v="1"/>
    <n v="7000000"/>
  </r>
  <r>
    <x v="32"/>
    <s v="PEMBELIAN KASET LABEL PRINT MERAH"/>
    <x v="0"/>
    <n v="91350"/>
  </r>
  <r>
    <x v="32"/>
    <s v="PELUNASAN CICILAN LABEL PRINT"/>
    <x v="0"/>
    <n v="244743"/>
  </r>
  <r>
    <x v="33"/>
    <s v="OPERASIONAL TURLAP"/>
    <x v="0"/>
    <n v="50000"/>
  </r>
  <r>
    <x v="34"/>
    <s v="OPERASIONAL TURLAP"/>
    <x v="0"/>
    <n v="50000"/>
  </r>
  <r>
    <x v="35"/>
    <s v="OPERASIONAL SURVEY DAN PERIJINAN NODE B 4 LOP"/>
    <x v="0"/>
    <n v="1000000"/>
  </r>
  <r>
    <x v="36"/>
    <s v="OPERASIONAL TURLAP"/>
    <x v="0"/>
    <n v="50000"/>
  </r>
  <r>
    <x v="37"/>
    <s v="NODE B 6 LOP"/>
    <x v="1"/>
    <n v="6000000"/>
  </r>
  <r>
    <x v="37"/>
    <s v="JPP 4 LOP"/>
    <x v="1"/>
    <n v="7000000"/>
  </r>
  <r>
    <x v="38"/>
    <s v="PEMBAYARAN MANDOR PEKERJAAN UPD663"/>
    <x v="0"/>
    <n v="500000"/>
  </r>
  <r>
    <x v="38"/>
    <s v="OPERASIONAL TURLAP"/>
    <x v="0"/>
    <n v="50000"/>
  </r>
  <r>
    <x v="39"/>
    <s v="DP PEKERJAAN LOP JL BIRU"/>
    <x v="0"/>
    <n v="5000000"/>
  </r>
  <r>
    <x v="39"/>
    <s v="PEMBAYARAN MANDOR PEKERJAAN UPD663"/>
    <x v="0"/>
    <n v="600000"/>
  </r>
  <r>
    <x v="39"/>
    <s v="KASBON JOINTER"/>
    <x v="0"/>
    <n v="100000"/>
  </r>
  <r>
    <x v="39"/>
    <s v="PINJAMAN PEKERJAAN MITRATEL"/>
    <x v="0"/>
    <n v="400000"/>
  </r>
  <r>
    <x v="39"/>
    <s v="PEMBAYARAN MANDOR PEKERJAAN UPD663"/>
    <x v="0"/>
    <n v="100000"/>
  </r>
  <r>
    <x v="40"/>
    <s v="OPERASIONAL TURLAP"/>
    <x v="0"/>
    <n v="50000"/>
  </r>
  <r>
    <x v="40"/>
    <s v="PEMBAYARAN MANDOR PEKERJAAN UPD663"/>
    <x v="0"/>
    <n v="50000"/>
  </r>
  <r>
    <x v="40"/>
    <s v="PEMBAYARAN MANDOR PEKERJAAN UPD663"/>
    <x v="0"/>
    <n v="1250000"/>
  </r>
  <r>
    <x v="40"/>
    <s v="BPJS KETENAGAKERJAAN "/>
    <x v="0"/>
    <n v="62900"/>
  </r>
  <r>
    <x v="41"/>
    <s v="BELI CONDUIT DAN JOINTER UPD663 "/>
    <x v="0"/>
    <n v="510000"/>
  </r>
  <r>
    <x v="42"/>
    <s v="SURVEY MITRATEL"/>
    <x v="0"/>
    <n v="400000"/>
  </r>
  <r>
    <x v="42"/>
    <s v="PENYELESAIAN FISIK LOP JL BIRU"/>
    <x v="0"/>
    <n v="12125000"/>
  </r>
  <r>
    <x v="42"/>
    <s v="JPP 4 LOP"/>
    <x v="1"/>
    <n v="17000000"/>
  </r>
  <r>
    <x v="43"/>
    <s v="PEMBAYARAN MANDOR PEKERJAAN UPD663"/>
    <x v="0"/>
    <n v="1650000"/>
  </r>
  <r>
    <x v="43"/>
    <s v="KASBON JOINTER"/>
    <x v="0"/>
    <n v="50000"/>
  </r>
  <r>
    <x v="44"/>
    <s v="PEMBAYARAN GAJI JOINTER"/>
    <x v="0"/>
    <n v="2000000"/>
  </r>
  <r>
    <x v="45"/>
    <s v="JPP 4 LOP"/>
    <x v="1"/>
    <n v="11000000"/>
  </r>
  <r>
    <x v="46"/>
    <s v="PEMBAYARAN GAJI TEAM"/>
    <x v="0"/>
    <n v="6000000"/>
  </r>
  <r>
    <x v="46"/>
    <s v="DP PEKERJAAN LOP COROWALIE"/>
    <x v="0"/>
    <n v="6000000"/>
  </r>
  <r>
    <x v="46"/>
    <s v="OPERASIONAL TURLAP"/>
    <x v="0"/>
    <n v="25000"/>
  </r>
  <r>
    <x v="47"/>
    <s v="KASBON MANDOR"/>
    <x v="0"/>
    <n v="5000000"/>
  </r>
  <r>
    <x v="47"/>
    <s v="OPERASIONAL TURLAP"/>
    <x v="0"/>
    <n v="25000"/>
  </r>
  <r>
    <x v="48"/>
    <s v="OPERASIONAL TURLAP"/>
    <x v="0"/>
    <n v="25000"/>
  </r>
  <r>
    <x v="48"/>
    <s v="NODE B 6 LOP"/>
    <x v="1"/>
    <n v="1500000"/>
  </r>
  <r>
    <x v="49"/>
    <s v="UT 736 &amp; 710"/>
    <x v="0"/>
    <n v="200000"/>
  </r>
  <r>
    <x v="50"/>
    <s v="KASBON MANDOR"/>
    <x v="0"/>
    <n v="1200000"/>
  </r>
  <r>
    <x v="50"/>
    <s v="OPERASIONAL PEKERJAAN COROWALIE"/>
    <x v="0"/>
    <n v="1000000"/>
  </r>
  <r>
    <x v="50"/>
    <s v="KASBON JOINTER"/>
    <x v="0"/>
    <n v="50000"/>
  </r>
  <r>
    <x v="50"/>
    <s v="PELUNASAN JOINTER LOP JL BIRU"/>
    <x v="0"/>
    <n v="1500000"/>
  </r>
  <r>
    <x v="50"/>
    <s v="PELUNASAN MANDOR LOP COROWALIE"/>
    <x v="0"/>
    <n v="38552500"/>
  </r>
  <r>
    <x v="50"/>
    <s v="SEWA MOBIL DAN TEBUS ODC GENTUNGAN"/>
    <x v="0"/>
    <n v="1000000"/>
  </r>
  <r>
    <x v="50"/>
    <s v="DP PEKERJAAN LOP DESA MICO"/>
    <x v="0"/>
    <n v="6000000"/>
  </r>
  <r>
    <x v="50"/>
    <s v="JPP 4 LOP"/>
    <x v="1"/>
    <n v="54398183"/>
  </r>
  <r>
    <x v="51"/>
    <s v="PINJAMAN DANA UTK HEM SATU SAMA"/>
    <x v="0"/>
    <n v="100000"/>
  </r>
  <r>
    <x v="51"/>
    <s v="PINJAMAN DANA UTK HEM SATU SAMA"/>
    <x v="0"/>
    <n v="50000"/>
  </r>
  <r>
    <x v="51"/>
    <s v="PINJAMAN DANA UTK HEM SATU SAMA"/>
    <x v="0"/>
    <n v="25000"/>
  </r>
  <r>
    <x v="52"/>
    <s v="KASBON MANDOR"/>
    <x v="0"/>
    <n v="1050000"/>
  </r>
  <r>
    <x v="52"/>
    <s v="PINJAMAN DANA UTK HEM SATU SAMA"/>
    <x v="0"/>
    <n v="900000"/>
  </r>
  <r>
    <x v="52"/>
    <s v="SEWA KENDARAAN"/>
    <x v="0"/>
    <n v="350000"/>
  </r>
  <r>
    <x v="52"/>
    <s v="BBM"/>
    <x v="0"/>
    <n v="200000"/>
  </r>
  <r>
    <x v="52"/>
    <s v="GANTI RUGI MOBIL"/>
    <x v="0"/>
    <n v="300000"/>
  </r>
  <r>
    <x v="52"/>
    <s v="KONSUMSI"/>
    <x v="0"/>
    <n v="112000"/>
  </r>
  <r>
    <x v="53"/>
    <s v="PEMBELIAN PIPA KONDUIT"/>
    <x v="0"/>
    <n v="300000"/>
  </r>
  <r>
    <x v="53"/>
    <s v="PEMBAYARAN JOINTER MITRATEL"/>
    <x v="0"/>
    <n v="1500000"/>
  </r>
  <r>
    <x v="54"/>
    <s v="SUPPORT UT BLK065 &amp; BLK044"/>
    <x v="0"/>
    <n v="500000"/>
  </r>
  <r>
    <x v="55"/>
    <s v="OPERASIONAL MITRATEL"/>
    <x v="0"/>
    <n v="400000"/>
  </r>
  <r>
    <x v="55"/>
    <s v="PEMBELIAN CET MITRATEL"/>
    <x v="0"/>
    <n v="244500"/>
  </r>
  <r>
    <x v="55"/>
    <s v="KASBON MANDOR"/>
    <x v="0"/>
    <n v="750000"/>
  </r>
  <r>
    <x v="55"/>
    <s v="MITRATEL WO#234"/>
    <x v="1"/>
    <n v="14830099"/>
  </r>
  <r>
    <x v="56"/>
    <s v="KASBON MANDOR"/>
    <x v="0"/>
    <n v="6000000"/>
  </r>
  <r>
    <x v="56"/>
    <s v="PEMBAYARAN WIFI KANTOR PERIODE APRIL"/>
    <x v="0"/>
    <n v="263850"/>
  </r>
  <r>
    <x v="56"/>
    <s v="SUPPORT UT BLK065 &amp; BLK044"/>
    <x v="0"/>
    <n v="100000"/>
  </r>
  <r>
    <x v="57"/>
    <s v="KASBON MANDOR"/>
    <x v="0"/>
    <n v="1000000"/>
  </r>
  <r>
    <x v="57"/>
    <s v="PEMBAYARAN GAJI JOINTER "/>
    <x v="0"/>
    <n v="3450000"/>
  </r>
  <r>
    <x v="58"/>
    <s v="KASBON MANDOR"/>
    <x v="0"/>
    <n v="1000000"/>
  </r>
  <r>
    <x v="58"/>
    <s v="PEMBAYARAN JOINTER COROWALIE"/>
    <x v="0"/>
    <n v="300000"/>
  </r>
  <r>
    <x v="58"/>
    <s v="PEMBAYARAN JOINTER UPD663"/>
    <x v="0"/>
    <n v="360000"/>
  </r>
  <r>
    <x v="58"/>
    <s v="PEMBELIAN GALVANIS &amp; BIAYA INSTALASI"/>
    <x v="0"/>
    <n v="300000"/>
  </r>
  <r>
    <x v="59"/>
    <s v="MITRATEL WO#234"/>
    <x v="1"/>
    <n v="7415050"/>
  </r>
  <r>
    <x v="60"/>
    <s v="PINJAMAN DANA UTK HEM PEMPROV MKS"/>
    <x v="0"/>
    <n v="300000"/>
  </r>
  <r>
    <x v="61"/>
    <s v="PEMBAYARAN JOINTER COROWALIE"/>
    <x v="0"/>
    <n v="1955000"/>
  </r>
  <r>
    <x v="61"/>
    <s v="PEMBAYARAN JOINTER COROWALIE"/>
    <x v="0"/>
    <n v="45000"/>
  </r>
  <r>
    <x v="61"/>
    <s v="PINJAMAN DANA UTK HEM PEMPROV MKS"/>
    <x v="0"/>
    <n v="2928750"/>
  </r>
  <r>
    <x v="61"/>
    <s v="PINJAMAN DANA UTK HEM PEMPROV MKS"/>
    <x v="0"/>
    <n v="625000"/>
  </r>
  <r>
    <x v="62"/>
    <s v="KASBON MANDOR"/>
    <x v="0"/>
    <n v="500000"/>
  </r>
  <r>
    <x v="62"/>
    <s v="PINJAMAN DANA UTK HEM KUA BULUKUMBA"/>
    <x v="0"/>
    <n v="160000"/>
  </r>
  <r>
    <x v="63"/>
    <s v="PEMBAYARAN COMCASE"/>
    <x v="0"/>
    <n v="1500000"/>
  </r>
  <r>
    <x v="63"/>
    <s v="JPP 4 LOP"/>
    <x v="1"/>
    <n v="26929318.5"/>
  </r>
  <r>
    <x v="64"/>
    <s v="PENGIRIMAN AKSESORIS KE DESA MICO"/>
    <x v="0"/>
    <n v="300000"/>
  </r>
  <r>
    <x v="64"/>
    <s v="PEMBAYARAN MANDOR DESA MICO"/>
    <x v="0"/>
    <n v="10000000"/>
  </r>
  <r>
    <x v="65"/>
    <s v="PINJAMAN DANA UTK HEM KUA BULUKUMBA"/>
    <x v="0"/>
    <n v="50000"/>
  </r>
  <r>
    <x v="65"/>
    <s v="PINJAMAN DANA UTK HEM PEMPROV GOWA"/>
    <x v="0"/>
    <n v="500000"/>
  </r>
  <r>
    <x v="65"/>
    <s v="PINJAMAN DANA UTK HEM PEMPROV GOWA"/>
    <x v="0"/>
    <n v="300000"/>
  </r>
  <r>
    <x v="66"/>
    <s v="PINJAMAN DANA UTK HEM PEMPROV GOWA"/>
    <x v="0"/>
    <n v="200000"/>
  </r>
  <r>
    <x v="67"/>
    <s v="PINJAMAN DANA UTK HEM PEMPROV GOWA"/>
    <x v="0"/>
    <n v="200000"/>
  </r>
  <r>
    <x v="67"/>
    <s v="BANTUAN PENYUSUNAN DOK"/>
    <x v="0"/>
    <n v="500000"/>
  </r>
  <r>
    <x v="68"/>
    <s v="PELUNASAN MANDOR"/>
    <x v="0"/>
    <n v="600000"/>
  </r>
  <r>
    <x v="68"/>
    <s v="PEMBAYARAN GAJI TEAM"/>
    <x v="0"/>
    <n v="6000000"/>
  </r>
  <r>
    <x v="69"/>
    <s v="PINJAMAN DANA UTK HEM PEMPROV GOWA"/>
    <x v="0"/>
    <n v="1500000"/>
  </r>
  <r>
    <x v="69"/>
    <s v="PINJAMAN DANA UTK HEM PEMPROV GOWA"/>
    <x v="0"/>
    <n v="625000"/>
  </r>
  <r>
    <x v="70"/>
    <s v="SEWA MOBIL PENGAMBILAN DATA"/>
    <x v="0"/>
    <n v="700000"/>
  </r>
  <r>
    <x v="70"/>
    <s v="PENGECEKAN GANGGUAN DAN PASANG SPLITER"/>
    <x v="0"/>
    <n v="400000"/>
  </r>
  <r>
    <x v="71"/>
    <s v="PEMBAYARAN WIFI KANTOR PERIODE MEI"/>
    <x v="0"/>
    <n v="263850"/>
  </r>
  <r>
    <x v="71"/>
    <s v="JASA PENGAMBILAN DATA"/>
    <x v="0"/>
    <n v="600000"/>
  </r>
  <r>
    <x v="71"/>
    <s v="BIAYA OPERASIONAL CT/UT"/>
    <x v="0"/>
    <n v="500000"/>
  </r>
  <r>
    <x v="71"/>
    <s v="PEMBAYARAN MANDOR DESA MICO"/>
    <x v="0"/>
    <n v="50537500"/>
  </r>
  <r>
    <x v="71"/>
    <s v="JPP 4 LOP"/>
    <x v="1"/>
    <n v="53202190"/>
  </r>
  <r>
    <x v="72"/>
    <s v="KASBON MANDOR"/>
    <x v="0"/>
    <n v="2000000"/>
  </r>
  <r>
    <x v="73"/>
    <s v="KASBON MANDOR"/>
    <x v="0"/>
    <n v="4000000"/>
  </r>
  <r>
    <x v="73"/>
    <s v="PENGAMBILAN EVIDEN JPP JL BIRU"/>
    <x v="0"/>
    <n v="200000"/>
  </r>
  <r>
    <x v="73"/>
    <s v="NODE B WTP192"/>
    <x v="1"/>
    <n v="12647432.699999999"/>
  </r>
  <r>
    <x v="74"/>
    <s v="KASBON MANDOR"/>
    <x v="0"/>
    <n v="1000000"/>
  </r>
  <r>
    <x v="75"/>
    <s v="PELUNASAN JONTER LOP DESA MICO"/>
    <x v="0"/>
    <n v="6350000"/>
  </r>
  <r>
    <x v="76"/>
    <s v="KASBON MANDOR"/>
    <x v="0"/>
    <n v="1000000"/>
  </r>
  <r>
    <x v="77"/>
    <s v="KASBON MANDOR"/>
    <x v="0"/>
    <n v="500000"/>
  </r>
  <r>
    <x v="77"/>
    <s v="VANDALISME BLK044"/>
    <x v="0"/>
    <n v="250000"/>
  </r>
  <r>
    <x v="77"/>
    <s v="VANDALISME BLK044"/>
    <x v="0"/>
    <n v="850000"/>
  </r>
  <r>
    <x v="78"/>
    <s v="KUNJUNGAN PENYELESAIAN MASALAH DESA"/>
    <x v="0"/>
    <n v="240000"/>
  </r>
  <r>
    <x v="79"/>
    <s v="NODE B WTP192"/>
    <x v="1"/>
    <n v="12647432.699999999"/>
  </r>
  <r>
    <x v="80"/>
    <s v="KASBON MANDOR"/>
    <x v="0"/>
    <n v="1500000"/>
  </r>
  <r>
    <x v="81"/>
    <s v="KASBON MANDOR"/>
    <x v="0"/>
    <n v="500000"/>
  </r>
  <r>
    <x v="82"/>
    <s v="KASBON MANDOR"/>
    <x v="0"/>
    <n v="4500000"/>
  </r>
  <r>
    <x v="82"/>
    <s v="NODE B WTP192"/>
    <x v="1"/>
    <n v="12647432.699999999"/>
  </r>
  <r>
    <x v="83"/>
    <s v="KASBON MANDOR"/>
    <x v="0"/>
    <n v="3000000"/>
  </r>
  <r>
    <x v="83"/>
    <s v="BIAYA SURVEY"/>
    <x v="0"/>
    <n v="150000"/>
  </r>
  <r>
    <x v="84"/>
    <s v="KASBON MANDOR"/>
    <x v="0"/>
    <n v="1000000"/>
  </r>
  <r>
    <x v="85"/>
    <s v="KASBON MANDOR"/>
    <x v="0"/>
    <n v="2000000"/>
  </r>
  <r>
    <x v="86"/>
    <s v="TEMPORER VANDALISME"/>
    <x v="0"/>
    <n v="250000"/>
  </r>
  <r>
    <x v="87"/>
    <s v="KASBON MANDOR"/>
    <x v="0"/>
    <n v="1050000"/>
  </r>
  <r>
    <x v="88"/>
    <s v="KASBON MANDOR"/>
    <x v="0"/>
    <n v="1000000"/>
  </r>
  <r>
    <x v="89"/>
    <s v="KASBON MANDOR"/>
    <x v="0"/>
    <n v="1000000"/>
  </r>
  <r>
    <x v="89"/>
    <s v="PEMBAYARAN BPJS KETENAGAKERJAAN"/>
    <x v="0"/>
    <n v="133964"/>
  </r>
  <r>
    <x v="89"/>
    <s v="KASBON MANDOR"/>
    <x v="0"/>
    <n v="500000"/>
  </r>
  <r>
    <x v="89"/>
    <s v="PEMBAYARAN WIFI KANTOR PERIODE JUNI"/>
    <x v="0"/>
    <n v="263850"/>
  </r>
  <r>
    <x v="90"/>
    <s v="KASBON MANDOR"/>
    <x v="0"/>
    <n v="300000"/>
  </r>
  <r>
    <x v="91"/>
    <s v="KASBON MANDOR"/>
    <x v="0"/>
    <n v="1000000"/>
  </r>
  <r>
    <x v="92"/>
    <s v="JOINTER VANDALISME"/>
    <x v="0"/>
    <n v="1140000"/>
  </r>
  <r>
    <x v="92"/>
    <s v="KASBON MANDOR"/>
    <x v="0"/>
    <n v="800000"/>
  </r>
  <r>
    <x v="92"/>
    <s v="KASBON MANDOR"/>
    <x v="0"/>
    <n v="500000"/>
  </r>
  <r>
    <x v="93"/>
    <s v="KASBON MANDOR"/>
    <x v="0"/>
    <n v="1000000"/>
  </r>
  <r>
    <x v="93"/>
    <s v="KASBON MANDOR"/>
    <x v="0"/>
    <n v="200000"/>
  </r>
  <r>
    <x v="94"/>
    <s v="KASBON MANDOR"/>
    <x v="0"/>
    <n v="100000"/>
  </r>
  <r>
    <x v="95"/>
    <s v="KASBON MANDOR"/>
    <x v="0"/>
    <n v="300000"/>
  </r>
  <r>
    <x v="96"/>
    <s v="KASBON MANDOR"/>
    <x v="0"/>
    <n v="7000000"/>
  </r>
  <r>
    <x v="97"/>
    <s v="KASBON MANDOR"/>
    <x v="0"/>
    <n v="200000"/>
  </r>
  <r>
    <x v="97"/>
    <s v="KASBON MANDOR"/>
    <x v="0"/>
    <n v="1327500"/>
  </r>
  <r>
    <x v="98"/>
    <s v="NODE B 2 LOP JNP"/>
    <x v="1"/>
    <n v="1500000"/>
  </r>
  <r>
    <x v="99"/>
    <s v="PEMBAYARAN VANDALISME JNP037"/>
    <x v="0"/>
    <n v="1000000"/>
  </r>
  <r>
    <x v="99"/>
    <s v="BIAYA UT MRS202"/>
    <x v="0"/>
    <n v="200000"/>
  </r>
  <r>
    <x v="100"/>
    <s v="PEMBAYARAN WIFI KANTOR PERIODE JULI"/>
    <x v="0"/>
    <n v="264850"/>
  </r>
  <r>
    <x v="101"/>
    <s v="NODE B 2 LOP MAT"/>
    <x v="1"/>
    <n v="4919261"/>
  </r>
  <r>
    <x v="101"/>
    <s v="PEMBAYARAN MANDOR UPD770 &amp; UPD860"/>
    <x v="0"/>
    <n v="500000"/>
  </r>
  <r>
    <x v="102"/>
    <s v="PEMBAYARAN MANDOR UPD770 &amp; UPD860"/>
    <x v="0"/>
    <n v="600000"/>
  </r>
  <r>
    <x v="103"/>
    <s v="PEMBAYARAN MANDOR UPD770 &amp; UPD860"/>
    <x v="0"/>
    <n v="200000"/>
  </r>
  <r>
    <x v="104"/>
    <s v="PEMBAYARAN MANDOR UPD770 &amp; UPD860"/>
    <x v="0"/>
    <n v="1500000"/>
  </r>
  <r>
    <x v="105"/>
    <s v="JOINTER UPD770 &amp; UPD860"/>
    <x v="0"/>
    <n v="100000"/>
  </r>
  <r>
    <x v="106"/>
    <s v="PEMBAYARAN MANDOR UPD770 &amp; UPD860"/>
    <x v="0"/>
    <n v="800000"/>
  </r>
  <r>
    <x v="106"/>
    <s v="JOINTER UPD770 &amp; UPD860"/>
    <x v="0"/>
    <n v="1000000"/>
  </r>
  <r>
    <x v="107"/>
    <s v="PEMBAYARAN WIFI KANTOR PERIODE AGUSTUS"/>
    <x v="0"/>
    <n v="26485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
  <r>
    <n v="1"/>
    <s v="NODE-B"/>
    <x v="0"/>
    <s v="4400047956/HK.810/TA-370002/01.2026"/>
    <d v="2026-01-23T00:00:00"/>
    <n v="75946550"/>
    <s v="VERIFIKASI REGIONAL"/>
  </r>
  <r>
    <n v="2"/>
    <s v="NODE-B"/>
    <x v="1"/>
    <s v="4400048812/HK.810/TA-370002/03.2026"/>
    <d v="2026-03-09T00:00:00"/>
    <n v="149414980"/>
    <s v="MENUNGGU BOQ UT"/>
  </r>
  <r>
    <n v="3"/>
    <s v="NODE-B"/>
    <x v="2"/>
    <s v="4200040829/HK.810/TA-370002/04.2026"/>
    <d v="2026-04-20T00:00:00"/>
    <n v="19403690"/>
    <s v="MENUNGGU BOQ UT"/>
  </r>
  <r>
    <n v="4"/>
    <s v="MITRATEL"/>
    <x v="3"/>
    <s v="1032/HK-810/TA.0207/04-2026"/>
    <d v="2026-04-24T00:00:00"/>
    <n v="35425510"/>
    <s v="MENUNGGU BOQ UT"/>
  </r>
  <r>
    <n v="5"/>
    <s v="NODE-B"/>
    <x v="4"/>
    <s v="4400050084/HK.810/TA-370002/05.2026"/>
    <d v="2026-05-08T00:00:00"/>
    <n v="60330170"/>
    <s v="MENUNGGU JADWAL UT"/>
  </r>
  <r>
    <n v="6"/>
    <s v="JPP MD"/>
    <x v="5"/>
    <s v="4400050203/HK.810/TA-370002/05.2026"/>
    <d v="2026-05-19T00:00:00"/>
    <n v="383651594"/>
    <s v="PROGRES DOKUMEN CT/UT"/>
  </r>
  <r>
    <n v="7"/>
    <s v="HEM"/>
    <x v="6"/>
    <s v="4400050523/HK.810/TA-370002/06.2026"/>
    <d v="2026-06-10T00:00:00"/>
    <n v="14682170"/>
    <s v="MENUNGGU JADWAL UT"/>
  </r>
  <r>
    <n v="8"/>
    <s v="NODE-B"/>
    <x v="7"/>
    <s v="NOT AVAILABLE"/>
    <s v="NOT AVAILABLE"/>
    <n v="8898600"/>
    <s v="DONE INSTALL 10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9">
  <r>
    <x v="0"/>
    <s v="PEMBAYARAN WIFI PERIODE JANUARI"/>
    <x v="0"/>
    <n v="263850"/>
  </r>
  <r>
    <x v="1"/>
    <s v="DP MANDOR JNP037"/>
    <x v="0"/>
    <n v="1500000"/>
  </r>
  <r>
    <x v="1"/>
    <s v="NODE B 2 LOP JNP"/>
    <x v="1"/>
    <n v="1500000"/>
  </r>
  <r>
    <x v="2"/>
    <s v="SEWA GUDANG &amp; DP MANDOR JNP067"/>
    <x v="0"/>
    <n v="10000000"/>
  </r>
  <r>
    <x v="2"/>
    <s v="NODE B 2 LOP JNP"/>
    <x v="1"/>
    <n v="10000000"/>
  </r>
  <r>
    <x v="3"/>
    <s v="NODE B 2 LOP JNP"/>
    <x v="1"/>
    <n v="15000000"/>
  </r>
  <r>
    <x v="4"/>
    <s v="KASBON MANDOR"/>
    <x v="0"/>
    <n v="10000000"/>
  </r>
  <r>
    <x v="4"/>
    <s v="OPERASIONAL BENSIN DAN SEWA MOBIL"/>
    <x v="0"/>
    <n v="675000"/>
  </r>
  <r>
    <x v="4"/>
    <s v="BAYARAN JOINTER"/>
    <x v="0"/>
    <n v="1500000"/>
  </r>
  <r>
    <x v="5"/>
    <s v="PEMBELIAN PIPA KONDUIT"/>
    <x v="0"/>
    <n v="300000"/>
  </r>
  <r>
    <x v="6"/>
    <s v="PEMBAYARAN JOINTER"/>
    <x v="0"/>
    <n v="500000"/>
  </r>
  <r>
    <x v="6"/>
    <s v="OPERASIONAL KE JNP"/>
    <x v="0"/>
    <n v="126000"/>
  </r>
  <r>
    <x v="7"/>
    <s v="PELUNASAN MANDOR"/>
    <x v="0"/>
    <n v="19915000"/>
  </r>
  <r>
    <x v="7"/>
    <s v="NODE B 2 LOP JNP"/>
    <x v="1"/>
    <n v="21000000"/>
  </r>
  <r>
    <x v="8"/>
    <s v="PEMBAYARAN JOINTER"/>
    <x v="0"/>
    <n v="500000"/>
  </r>
  <r>
    <x v="9"/>
    <s v="OPERASIONAL KE JNP"/>
    <x v="0"/>
    <n v="500000"/>
  </r>
  <r>
    <x v="10"/>
    <s v="PEMBAYARAN GAJI TEAM PROJECT"/>
    <x v="0"/>
    <n v="4000000"/>
  </r>
  <r>
    <x v="10"/>
    <s v="NODE B 2 LOP JNP"/>
    <x v="1"/>
    <n v="4000000"/>
  </r>
  <r>
    <x v="11"/>
    <s v="OPERASIONAL "/>
    <x v="0"/>
    <n v="200000"/>
  </r>
  <r>
    <x v="12"/>
    <s v="PELUNASAN JOINTER"/>
    <x v="0"/>
    <n v="1000000"/>
  </r>
  <r>
    <x v="13"/>
    <s v="SURVEY BLK065"/>
    <x v="0"/>
    <n v="250000"/>
  </r>
  <r>
    <x v="14"/>
    <s v="SURVEY BLK044"/>
    <x v="0"/>
    <n v="250000"/>
  </r>
  <r>
    <x v="15"/>
    <s v="PEMBAYARAN WIFI KANTOR PERIODE FEBRUARI"/>
    <x v="0"/>
    <n v="263850"/>
  </r>
  <r>
    <x v="16"/>
    <s v="KASBON MANDOR UPD707"/>
    <x v="0"/>
    <n v="500000"/>
  </r>
  <r>
    <x v="17"/>
    <s v="KASBON MANDOR UPD707"/>
    <x v="0"/>
    <n v="250000"/>
  </r>
  <r>
    <x v="18"/>
    <s v="PEMBELIAN SEMEN &amp; KASBON UPD707"/>
    <x v="0"/>
    <n v="200000"/>
  </r>
  <r>
    <x v="19"/>
    <s v="PELUNASAN UPD707"/>
    <x v="0"/>
    <n v="2210000"/>
  </r>
  <r>
    <x v="20"/>
    <s v="KASBON MANDOR UPD718"/>
    <x v="0"/>
    <n v="500000"/>
  </r>
  <r>
    <x v="20"/>
    <s v="NODE B 8 LOP"/>
    <x v="1"/>
    <n v="12000000"/>
  </r>
  <r>
    <x v="21"/>
    <s v="KASBON MANDOR UPD718"/>
    <x v="0"/>
    <n v="100000"/>
  </r>
  <r>
    <x v="22"/>
    <s v="PELUNASAN UPD718"/>
    <x v="0"/>
    <n v="1537500"/>
  </r>
  <r>
    <x v="22"/>
    <s v="KASBON MANDOR MRS202"/>
    <x v="0"/>
    <n v="5000000"/>
  </r>
  <r>
    <x v="23"/>
    <s v="KASBON MANDOR MRS202"/>
    <x v="0"/>
    <n v="1000000"/>
  </r>
  <r>
    <x v="23"/>
    <s v="PEMBELIAN GERGAJI BESI"/>
    <x v="0"/>
    <n v="50000"/>
  </r>
  <r>
    <x v="23"/>
    <s v="CICILAN PEMBAYARAN LABEL PRITN"/>
    <x v="0"/>
    <n v="489486"/>
  </r>
  <r>
    <x v="24"/>
    <s v="TERMINASI UPD718 &amp; UPD707"/>
    <x v="0"/>
    <n v="1440000"/>
  </r>
  <r>
    <x v="25"/>
    <s v="PELUNASAN MRS202"/>
    <x v="0"/>
    <n v="11795000"/>
  </r>
  <r>
    <x v="25"/>
    <s v="OPERASIONAL WASPANG"/>
    <x v="0"/>
    <n v="100000"/>
  </r>
  <r>
    <x v="25"/>
    <s v="PEMBAYARAN GAJI TEAM PROJECT"/>
    <x v="0"/>
    <n v="5000000"/>
  </r>
  <r>
    <x v="25"/>
    <s v="TERMINASI MRS202"/>
    <x v="0"/>
    <n v="1080000"/>
  </r>
  <r>
    <x v="25"/>
    <s v="NODE B 8 LOP"/>
    <x v="1"/>
    <n v="25000000"/>
  </r>
  <r>
    <x v="26"/>
    <s v="KASBON MANDOR BLK065 &amp; BLK044"/>
    <x v="0"/>
    <n v="5000000"/>
  </r>
  <r>
    <x v="27"/>
    <s v="PEMBAYARAN MANDOR PEKERJAAN UPD736 &amp; 710"/>
    <x v="0"/>
    <n v="500000"/>
  </r>
  <r>
    <x v="27"/>
    <s v="KASBON MANDOR BLK065 &amp; BLK044"/>
    <x v="0"/>
    <n v="1500000"/>
  </r>
  <r>
    <x v="28"/>
    <s v="OPERASIONAL TURLAP"/>
    <x v="0"/>
    <n v="100000"/>
  </r>
  <r>
    <x v="28"/>
    <s v="SEWA MOBIL KE BLK"/>
    <x v="0"/>
    <n v="600000"/>
  </r>
  <r>
    <x v="28"/>
    <s v="PENGINAPAN H1 BLK"/>
    <x v="0"/>
    <n v="150000"/>
  </r>
  <r>
    <x v="29"/>
    <s v="KONSUMSI H2 BLK"/>
    <x v="0"/>
    <n v="40000"/>
  </r>
  <r>
    <x v="29"/>
    <s v="BBM BLK"/>
    <x v="0"/>
    <n v="300000"/>
  </r>
  <r>
    <x v="29"/>
    <s v="PENGINAPAN H2 BLK"/>
    <x v="0"/>
    <n v="150000"/>
  </r>
  <r>
    <x v="30"/>
    <s v="PEMBAYARAN MANDOR PEKERJAAN UPD736 &amp; 710"/>
    <x v="0"/>
    <n v="500000"/>
  </r>
  <r>
    <x v="30"/>
    <s v="PEMBAYARAN MANDOR PEKERJAAN UPD736 &amp; 710"/>
    <x v="0"/>
    <n v="1750000"/>
  </r>
  <r>
    <x v="30"/>
    <s v="KONSUMSI H3 BLK"/>
    <x v="0"/>
    <n v="90000"/>
  </r>
  <r>
    <x v="30"/>
    <s v="BBM BLK"/>
    <x v="0"/>
    <n v="200000"/>
  </r>
  <r>
    <x v="30"/>
    <s v="PEMBELIAN TERPAL"/>
    <x v="0"/>
    <n v="35000"/>
  </r>
  <r>
    <x v="31"/>
    <s v="BIAYA PERIJINAN LOP JL BIRU"/>
    <x v="0"/>
    <n v="7000000"/>
  </r>
  <r>
    <x v="31"/>
    <s v="OPERASIONAL PERIJINAN LOP JL BIRU"/>
    <x v="0"/>
    <n v="50000"/>
  </r>
  <r>
    <x v="31"/>
    <s v="PEMBAYARAN WIFI KANTOR"/>
    <x v="0"/>
    <n v="263850"/>
  </r>
  <r>
    <x v="31"/>
    <s v="KASBON JOINTER"/>
    <x v="0"/>
    <n v="500000"/>
  </r>
  <r>
    <x v="31"/>
    <s v="GANTI RUGI MOBIL SEWA LECET"/>
    <x v="0"/>
    <n v="250000"/>
  </r>
  <r>
    <x v="31"/>
    <s v="PELUNASAN MANDOR BLK065 &amp; BLK044"/>
    <x v="0"/>
    <n v="28014000"/>
  </r>
  <r>
    <x v="31"/>
    <s v="NODE B 8 LOP"/>
    <x v="1"/>
    <n v="35000000"/>
  </r>
  <r>
    <x v="31"/>
    <s v="NODE B 6 LOP"/>
    <x v="1"/>
    <n v="6000000"/>
  </r>
  <r>
    <x v="31"/>
    <s v="JPP 4 LOP"/>
    <x v="1"/>
    <n v="7000000"/>
  </r>
  <r>
    <x v="32"/>
    <s v="PEMBELIAN KASET LABEL PRINT MERAH"/>
    <x v="0"/>
    <n v="91350"/>
  </r>
  <r>
    <x v="32"/>
    <s v="PELUNASAN CICILAN LABEL PRINT"/>
    <x v="0"/>
    <n v="244743"/>
  </r>
  <r>
    <x v="33"/>
    <s v="OPERASIONAL TURLAP"/>
    <x v="0"/>
    <n v="50000"/>
  </r>
  <r>
    <x v="34"/>
    <s v="OPERASIONAL TURLAP"/>
    <x v="0"/>
    <n v="50000"/>
  </r>
  <r>
    <x v="35"/>
    <s v="OPERASIONAL SURVEY DAN PERIJINAN NODE B 4 LOP"/>
    <x v="0"/>
    <n v="1000000"/>
  </r>
  <r>
    <x v="36"/>
    <s v="OPERASIONAL TURLAP"/>
    <x v="0"/>
    <n v="50000"/>
  </r>
  <r>
    <x v="37"/>
    <s v="NODE B 6 LOP"/>
    <x v="1"/>
    <n v="6000000"/>
  </r>
  <r>
    <x v="37"/>
    <s v="JPP 4 LOP"/>
    <x v="1"/>
    <n v="7000000"/>
  </r>
  <r>
    <x v="38"/>
    <s v="PEMBAYARAN MANDOR PEKERJAAN UPD663"/>
    <x v="0"/>
    <n v="500000"/>
  </r>
  <r>
    <x v="38"/>
    <s v="OPERASIONAL TURLAP"/>
    <x v="0"/>
    <n v="50000"/>
  </r>
  <r>
    <x v="39"/>
    <s v="DP PEKERJAAN LOP JL BIRU"/>
    <x v="0"/>
    <n v="5000000"/>
  </r>
  <r>
    <x v="39"/>
    <s v="PEMBAYARAN MANDOR PEKERJAAN UPD663"/>
    <x v="0"/>
    <n v="600000"/>
  </r>
  <r>
    <x v="39"/>
    <s v="KASBON JOINTER"/>
    <x v="0"/>
    <n v="100000"/>
  </r>
  <r>
    <x v="39"/>
    <s v="PINJAMAN PEKERJAAN MITRATEL"/>
    <x v="0"/>
    <n v="400000"/>
  </r>
  <r>
    <x v="39"/>
    <s v="PEMBAYARAN MANDOR PEKERJAAN UPD663"/>
    <x v="0"/>
    <n v="100000"/>
  </r>
  <r>
    <x v="40"/>
    <s v="OPERASIONAL TURLAP"/>
    <x v="0"/>
    <n v="50000"/>
  </r>
  <r>
    <x v="40"/>
    <s v="PEMBAYARAN MANDOR PEKERJAAN UPD663"/>
    <x v="0"/>
    <n v="50000"/>
  </r>
  <r>
    <x v="40"/>
    <s v="PEMBAYARAN MANDOR PEKERJAAN UPD663"/>
    <x v="0"/>
    <n v="1250000"/>
  </r>
  <r>
    <x v="40"/>
    <s v="BPJS KETENAGAKERJAAN "/>
    <x v="0"/>
    <n v="62900"/>
  </r>
  <r>
    <x v="41"/>
    <s v="BELI CONDUIT DAN JOINTER UPD663 "/>
    <x v="0"/>
    <n v="510000"/>
  </r>
  <r>
    <x v="42"/>
    <s v="SURVEY MITRATEL"/>
    <x v="0"/>
    <n v="400000"/>
  </r>
  <r>
    <x v="42"/>
    <s v="PENYELESAIAN FISIK LOP JL BIRU"/>
    <x v="0"/>
    <n v="12125000"/>
  </r>
  <r>
    <x v="42"/>
    <s v="JPP 4 LOP"/>
    <x v="1"/>
    <n v="17000000"/>
  </r>
  <r>
    <x v="43"/>
    <s v="PEMBAYARAN MANDOR PEKERJAAN UPD663"/>
    <x v="0"/>
    <n v="1650000"/>
  </r>
  <r>
    <x v="43"/>
    <s v="KASBON JOINTER"/>
    <x v="0"/>
    <n v="50000"/>
  </r>
  <r>
    <x v="44"/>
    <s v="PEMBAYARAN GAJI JOINTER"/>
    <x v="0"/>
    <n v="2000000"/>
  </r>
  <r>
    <x v="45"/>
    <s v="JPP 4 LOP"/>
    <x v="1"/>
    <n v="11000000"/>
  </r>
  <r>
    <x v="46"/>
    <s v="PEMBAYARAN GAJI TEAM"/>
    <x v="0"/>
    <n v="6000000"/>
  </r>
  <r>
    <x v="46"/>
    <s v="DP PEKERJAAN LOP COROWALIE"/>
    <x v="0"/>
    <n v="6000000"/>
  </r>
  <r>
    <x v="46"/>
    <s v="OPERASIONAL TURLAP"/>
    <x v="0"/>
    <n v="25000"/>
  </r>
  <r>
    <x v="47"/>
    <s v="KASBON MANDOR"/>
    <x v="0"/>
    <n v="5000000"/>
  </r>
  <r>
    <x v="47"/>
    <s v="OPERASIONAL TURLAP"/>
    <x v="0"/>
    <n v="25000"/>
  </r>
  <r>
    <x v="48"/>
    <s v="OPERASIONAL TURLAP"/>
    <x v="0"/>
    <n v="25000"/>
  </r>
  <r>
    <x v="48"/>
    <s v="NODE B 6 LOP"/>
    <x v="1"/>
    <n v="1500000"/>
  </r>
  <r>
    <x v="49"/>
    <s v="UT 736 &amp; 710"/>
    <x v="0"/>
    <n v="200000"/>
  </r>
  <r>
    <x v="50"/>
    <s v="KASBON MANDOR"/>
    <x v="0"/>
    <n v="1200000"/>
  </r>
  <r>
    <x v="50"/>
    <s v="OPERASIONAL PEKERJAAN COROWALIE"/>
    <x v="0"/>
    <n v="1000000"/>
  </r>
  <r>
    <x v="50"/>
    <s v="KASBON JOINTER"/>
    <x v="0"/>
    <n v="50000"/>
  </r>
  <r>
    <x v="50"/>
    <s v="PELUNASAN JOINTER LOP JL BIRU"/>
    <x v="0"/>
    <n v="1500000"/>
  </r>
  <r>
    <x v="50"/>
    <s v="PELUNASAN MANDOR LOP COROWALIE"/>
    <x v="0"/>
    <n v="38552500"/>
  </r>
  <r>
    <x v="50"/>
    <s v="SEWA MOBIL DAN TEBUS ODC GENTUNGAN"/>
    <x v="0"/>
    <n v="1000000"/>
  </r>
  <r>
    <x v="50"/>
    <s v="DP PEKERJAAN LOP DESA MICO"/>
    <x v="0"/>
    <n v="6000000"/>
  </r>
  <r>
    <x v="50"/>
    <s v="JPP 4 LOP"/>
    <x v="1"/>
    <n v="54398183"/>
  </r>
  <r>
    <x v="51"/>
    <s v="PINJAMAN DANA UTK HEM SATU SAMA"/>
    <x v="0"/>
    <n v="100000"/>
  </r>
  <r>
    <x v="51"/>
    <s v="PINJAMAN DANA UTK HEM SATU SAMA"/>
    <x v="0"/>
    <n v="50000"/>
  </r>
  <r>
    <x v="51"/>
    <s v="PINJAMAN DANA UTK HEM SATU SAMA"/>
    <x v="0"/>
    <n v="25000"/>
  </r>
  <r>
    <x v="52"/>
    <s v="KASBON MANDOR"/>
    <x v="0"/>
    <n v="1050000"/>
  </r>
  <r>
    <x v="52"/>
    <s v="PINJAMAN DANA UTK HEM SATU SAMA"/>
    <x v="0"/>
    <n v="900000"/>
  </r>
  <r>
    <x v="52"/>
    <s v="SEWA KENDARAAN"/>
    <x v="0"/>
    <n v="350000"/>
  </r>
  <r>
    <x v="52"/>
    <s v="BBM"/>
    <x v="0"/>
    <n v="200000"/>
  </r>
  <r>
    <x v="52"/>
    <s v="GANTI RUGI MOBIL"/>
    <x v="0"/>
    <n v="300000"/>
  </r>
  <r>
    <x v="52"/>
    <s v="KONSUMSI"/>
    <x v="0"/>
    <n v="112000"/>
  </r>
  <r>
    <x v="53"/>
    <s v="PEMBELIAN PIPA KONDUIT"/>
    <x v="0"/>
    <n v="300000"/>
  </r>
  <r>
    <x v="53"/>
    <s v="PEMBAYARAN JOINTER MITRATEL"/>
    <x v="0"/>
    <n v="1500000"/>
  </r>
  <r>
    <x v="54"/>
    <s v="SUPPORT UT BLK065 &amp; BLK044"/>
    <x v="0"/>
    <n v="500000"/>
  </r>
  <r>
    <x v="55"/>
    <s v="OPERASIONAL MITRATEL"/>
    <x v="0"/>
    <n v="400000"/>
  </r>
  <r>
    <x v="55"/>
    <s v="PEMBELIAN CET MITRATEL"/>
    <x v="0"/>
    <n v="244500"/>
  </r>
  <r>
    <x v="55"/>
    <s v="KASBON MANDOR"/>
    <x v="0"/>
    <n v="750000"/>
  </r>
  <r>
    <x v="55"/>
    <s v="MITRATEL WO#234"/>
    <x v="1"/>
    <n v="14830099"/>
  </r>
  <r>
    <x v="56"/>
    <s v="KASBON MANDOR"/>
    <x v="0"/>
    <n v="6000000"/>
  </r>
  <r>
    <x v="56"/>
    <s v="PEMBAYARAN WIFI KANTOR PERIODE APRIL"/>
    <x v="0"/>
    <n v="263850"/>
  </r>
  <r>
    <x v="56"/>
    <s v="SUPPORT UT BLK065 &amp; BLK044"/>
    <x v="0"/>
    <n v="100000"/>
  </r>
  <r>
    <x v="57"/>
    <s v="KASBON MANDOR"/>
    <x v="0"/>
    <n v="1000000"/>
  </r>
  <r>
    <x v="57"/>
    <s v="PEMBAYARAN GAJI JOINTER "/>
    <x v="0"/>
    <n v="3450000"/>
  </r>
  <r>
    <x v="58"/>
    <s v="KASBON MANDOR"/>
    <x v="0"/>
    <n v="1000000"/>
  </r>
  <r>
    <x v="58"/>
    <s v="PEMBAYARAN JOINTER COROWALIE"/>
    <x v="0"/>
    <n v="300000"/>
  </r>
  <r>
    <x v="58"/>
    <s v="PEMBAYARAN JOINTER UPD663"/>
    <x v="0"/>
    <n v="360000"/>
  </r>
  <r>
    <x v="58"/>
    <s v="PEMBELIAN GALVANIS &amp; BIAYA INSTALASI"/>
    <x v="0"/>
    <n v="300000"/>
  </r>
  <r>
    <x v="59"/>
    <s v="MITRATEL WO#234"/>
    <x v="1"/>
    <n v="7415050"/>
  </r>
  <r>
    <x v="60"/>
    <s v="PINJAMAN DANA UTK HEM PEMPROV MKS"/>
    <x v="0"/>
    <n v="300000"/>
  </r>
  <r>
    <x v="61"/>
    <s v="PEMBAYARAN JOINTER COROWALIE"/>
    <x v="0"/>
    <n v="1955000"/>
  </r>
  <r>
    <x v="61"/>
    <s v="PEMBAYARAN JOINTER COROWALIE"/>
    <x v="0"/>
    <n v="45000"/>
  </r>
  <r>
    <x v="61"/>
    <s v="PINJAMAN DANA UTK HEM PEMPROV MKS"/>
    <x v="0"/>
    <n v="2928750"/>
  </r>
  <r>
    <x v="61"/>
    <s v="PINJAMAN DANA UTK HEM PEMPROV MKS"/>
    <x v="0"/>
    <n v="625000"/>
  </r>
  <r>
    <x v="62"/>
    <s v="KASBON MANDOR"/>
    <x v="0"/>
    <n v="500000"/>
  </r>
  <r>
    <x v="62"/>
    <s v="PINJAMAN DANA UTK HEM KUA BULUKUMBA"/>
    <x v="0"/>
    <n v="160000"/>
  </r>
  <r>
    <x v="63"/>
    <s v="PEMBAYARAN COMCASE"/>
    <x v="0"/>
    <n v="1500000"/>
  </r>
  <r>
    <x v="63"/>
    <s v="JPP 4 LOP"/>
    <x v="1"/>
    <n v="26929318.5"/>
  </r>
  <r>
    <x v="64"/>
    <s v="PENGIRIMAN AKSESORIS KE DESA MICO"/>
    <x v="0"/>
    <n v="300000"/>
  </r>
  <r>
    <x v="64"/>
    <s v="PEMBAYARAN MANDOR DESA MICO"/>
    <x v="0"/>
    <n v="10000000"/>
  </r>
  <r>
    <x v="65"/>
    <s v="PINJAMAN DANA UTK HEM KUA BULUKUMBA"/>
    <x v="0"/>
    <n v="50000"/>
  </r>
  <r>
    <x v="65"/>
    <s v="PINJAMAN DANA UTK HEM PEMPROV GOWA"/>
    <x v="0"/>
    <n v="500000"/>
  </r>
  <r>
    <x v="65"/>
    <s v="PINJAMAN DANA UTK HEM PEMPROV GOWA"/>
    <x v="0"/>
    <n v="300000"/>
  </r>
  <r>
    <x v="66"/>
    <s v="PINJAMAN DANA UTK HEM PEMPROV GOWA"/>
    <x v="0"/>
    <n v="200000"/>
  </r>
  <r>
    <x v="67"/>
    <s v="PINJAMAN DANA UTK HEM PEMPROV GOWA"/>
    <x v="0"/>
    <n v="200000"/>
  </r>
  <r>
    <x v="67"/>
    <s v="BANTUAN PENYUSUNAN DOK"/>
    <x v="0"/>
    <n v="500000"/>
  </r>
  <r>
    <x v="68"/>
    <s v="PELUNASAN MANDOR"/>
    <x v="0"/>
    <n v="600000"/>
  </r>
  <r>
    <x v="68"/>
    <s v="PEMBAYARAN GAJI TEAM"/>
    <x v="0"/>
    <n v="6000000"/>
  </r>
  <r>
    <x v="69"/>
    <s v="PINJAMAN DANA UTK HEM PEMPROV GOWA"/>
    <x v="0"/>
    <n v="1500000"/>
  </r>
  <r>
    <x v="69"/>
    <s v="PINJAMAN DANA UTK HEM PEMPROV GOWA"/>
    <x v="0"/>
    <n v="625000"/>
  </r>
  <r>
    <x v="70"/>
    <s v="SEWA MOBIL PENGAMBILAN DATA"/>
    <x v="0"/>
    <n v="700000"/>
  </r>
  <r>
    <x v="70"/>
    <s v="PENGECEKAN GANGGUAN DAN PASANG SPLITER"/>
    <x v="0"/>
    <n v="400000"/>
  </r>
  <r>
    <x v="71"/>
    <s v="PEMBAYARAN WIFI KANTOR PERIODE MEI"/>
    <x v="0"/>
    <n v="263850"/>
  </r>
  <r>
    <x v="71"/>
    <s v="JASA PENGAMBILAN DATA"/>
    <x v="0"/>
    <n v="600000"/>
  </r>
  <r>
    <x v="71"/>
    <s v="BIAYA OPERASIONAL CT/UT"/>
    <x v="0"/>
    <n v="500000"/>
  </r>
  <r>
    <x v="71"/>
    <s v="PEMBAYARAN MANDOR DESA MICO"/>
    <x v="0"/>
    <n v="50537500"/>
  </r>
  <r>
    <x v="71"/>
    <s v="JPP 4 LOP"/>
    <x v="1"/>
    <n v="53202190"/>
  </r>
  <r>
    <x v="72"/>
    <s v="KASBON MANDOR"/>
    <x v="0"/>
    <n v="2000000"/>
  </r>
  <r>
    <x v="73"/>
    <s v="KASBON MANDOR"/>
    <x v="0"/>
    <n v="4000000"/>
  </r>
  <r>
    <x v="73"/>
    <s v="PENGAMBILAN EVIDEN JPP JL BIRU"/>
    <x v="0"/>
    <n v="200000"/>
  </r>
  <r>
    <x v="73"/>
    <s v="NODE B WTP192"/>
    <x v="1"/>
    <n v="12647432.699999999"/>
  </r>
  <r>
    <x v="74"/>
    <s v="KASBON MANDOR"/>
    <x v="0"/>
    <n v="1000000"/>
  </r>
  <r>
    <x v="75"/>
    <s v="PELUNASAN JONTER LOP DESA MICO"/>
    <x v="0"/>
    <n v="6350000"/>
  </r>
  <r>
    <x v="76"/>
    <s v="KASBON MANDOR"/>
    <x v="0"/>
    <n v="1000000"/>
  </r>
  <r>
    <x v="77"/>
    <s v="KASBON MANDOR"/>
    <x v="0"/>
    <n v="500000"/>
  </r>
  <r>
    <x v="77"/>
    <s v="VANDALISME BLK044"/>
    <x v="0"/>
    <n v="250000"/>
  </r>
  <r>
    <x v="77"/>
    <s v="VANDALISME BLK044"/>
    <x v="0"/>
    <n v="850000"/>
  </r>
  <r>
    <x v="78"/>
    <s v="KUNJUNGAN PENYELESAIAN MASALAH DESA"/>
    <x v="0"/>
    <n v="240000"/>
  </r>
  <r>
    <x v="79"/>
    <s v="NODE B WTP192"/>
    <x v="1"/>
    <n v="12647432.699999999"/>
  </r>
  <r>
    <x v="80"/>
    <s v="KASBON MANDOR"/>
    <x v="0"/>
    <n v="1500000"/>
  </r>
  <r>
    <x v="81"/>
    <s v="KASBON MANDOR"/>
    <x v="0"/>
    <n v="500000"/>
  </r>
  <r>
    <x v="82"/>
    <s v="KASBON MANDOR"/>
    <x v="0"/>
    <n v="4500000"/>
  </r>
  <r>
    <x v="82"/>
    <s v="NODE B WTP192"/>
    <x v="1"/>
    <n v="12647432.699999999"/>
  </r>
  <r>
    <x v="83"/>
    <s v="KASBON MANDOR"/>
    <x v="0"/>
    <n v="3000000"/>
  </r>
  <r>
    <x v="83"/>
    <s v="BIAYA SURVEY"/>
    <x v="0"/>
    <n v="150000"/>
  </r>
  <r>
    <x v="84"/>
    <s v="KASBON MANDOR"/>
    <x v="0"/>
    <n v="1000000"/>
  </r>
  <r>
    <x v="85"/>
    <s v="KASBON MANDOR"/>
    <x v="0"/>
    <n v="2000000"/>
  </r>
  <r>
    <x v="86"/>
    <s v="TEMPORER VANDALISME"/>
    <x v="0"/>
    <n v="250000"/>
  </r>
  <r>
    <x v="87"/>
    <s v="KASBON MANDOR"/>
    <x v="0"/>
    <n v="1050000"/>
  </r>
  <r>
    <x v="88"/>
    <s v="KASBON MANDOR"/>
    <x v="0"/>
    <n v="1000000"/>
  </r>
  <r>
    <x v="89"/>
    <s v="KASBON MANDOR"/>
    <x v="0"/>
    <n v="1000000"/>
  </r>
  <r>
    <x v="89"/>
    <s v="PEMBAYARAN BPJS KETENAGAKERJAAN"/>
    <x v="0"/>
    <n v="133964"/>
  </r>
  <r>
    <x v="89"/>
    <s v="KASBON MANDOR"/>
    <x v="0"/>
    <n v="500000"/>
  </r>
  <r>
    <x v="89"/>
    <s v="PEMBAYARAN WIFI KANTOR PERIODE JUNI"/>
    <x v="0"/>
    <n v="263850"/>
  </r>
  <r>
    <x v="90"/>
    <s v="KASBON MANDOR"/>
    <x v="0"/>
    <n v="300000"/>
  </r>
  <r>
    <x v="91"/>
    <s v="KASBON MANDOR"/>
    <x v="0"/>
    <n v="1000000"/>
  </r>
  <r>
    <x v="92"/>
    <s v="JOINTER VANDALISME"/>
    <x v="0"/>
    <n v="1140000"/>
  </r>
  <r>
    <x v="92"/>
    <s v="KASBON MANDOR"/>
    <x v="0"/>
    <n v="800000"/>
  </r>
  <r>
    <x v="92"/>
    <s v="BANTUAN ADMIN"/>
    <x v="0"/>
    <n v="3000000"/>
  </r>
  <r>
    <x v="92"/>
    <s v="KASBON MANDOR"/>
    <x v="0"/>
    <n v="500000"/>
  </r>
  <r>
    <x v="93"/>
    <s v="KASBON MANDOR"/>
    <x v="0"/>
    <n v="1000000"/>
  </r>
  <r>
    <x v="93"/>
    <s v="KASBON MANDOR"/>
    <x v="0"/>
    <n v="200000"/>
  </r>
  <r>
    <x v="94"/>
    <s v="KASBON MANDOR"/>
    <x v="0"/>
    <n v="100000"/>
  </r>
  <r>
    <x v="95"/>
    <s v="KASBON MANDOR"/>
    <x v="0"/>
    <n v="300000"/>
  </r>
  <r>
    <x v="96"/>
    <s v="KASBON MANDOR"/>
    <x v="0"/>
    <n v="7000000"/>
  </r>
  <r>
    <x v="97"/>
    <s v="KASBON MANDOR"/>
    <x v="0"/>
    <n v="200000"/>
  </r>
  <r>
    <x v="97"/>
    <s v="KASBON MANDOR"/>
    <x v="0"/>
    <n v="1327500"/>
  </r>
  <r>
    <x v="98"/>
    <s v="NODE B 2 LOP JNP"/>
    <x v="1"/>
    <n v="1500000"/>
  </r>
  <r>
    <x v="99"/>
    <s v="PEMBAYARAN VANDALISME JNP037"/>
    <x v="0"/>
    <n v="1000000"/>
  </r>
  <r>
    <x v="99"/>
    <s v="BIAYA UT MRS202"/>
    <x v="0"/>
    <n v="200000"/>
  </r>
  <r>
    <x v="100"/>
    <s v="PEMBAYARAN WIFI KANTOR PERIODE JULI"/>
    <x v="0"/>
    <n v="264850"/>
  </r>
  <r>
    <x v="101"/>
    <s v="NODE B 2 LOP MAT"/>
    <x v="1"/>
    <n v="4919261"/>
  </r>
  <r>
    <x v="101"/>
    <s v="PEMBAYARAN MANDOR UPD770 &amp; UPD860"/>
    <x v="0"/>
    <n v="500000"/>
  </r>
  <r>
    <x v="102"/>
    <s v="PEMBAYARAN MANDOR UPD770 &amp; UPD860"/>
    <x v="0"/>
    <n v="600000"/>
  </r>
  <r>
    <x v="103"/>
    <s v="PEMBAYARAN MANDOR UPD770 &amp; UPD860"/>
    <x v="0"/>
    <n v="200000"/>
  </r>
  <r>
    <x v="104"/>
    <s v="PEMBAYARAN MANDOR UPD770 &amp; UPD860"/>
    <x v="0"/>
    <n v="1500000"/>
  </r>
  <r>
    <x v="105"/>
    <s v="JOINTER UPD770 &amp; UPD860"/>
    <x v="0"/>
    <n v="100000"/>
  </r>
  <r>
    <x v="106"/>
    <s v="PEMBAYARAN MANDOR UPD770 &amp; UPD860"/>
    <x v="0"/>
    <n v="800000"/>
  </r>
  <r>
    <x v="106"/>
    <s v="JOINTER UPD770 &amp; UPD860"/>
    <x v="0"/>
    <n v="1000000"/>
  </r>
  <r>
    <x v="107"/>
    <s v="PEMBAYARAN WIFI KANTOR PERIODE AGUSTUS"/>
    <x v="0"/>
    <n v="264850"/>
  </r>
  <r>
    <x v="108"/>
    <s v="PEMBAYARAN BPJS KETENAGAKERJAAN"/>
    <x v="0"/>
    <n v="90764"/>
  </r>
  <r>
    <x v="109"/>
    <s v="BUDGET REDESIGN UPD740"/>
    <x v="1"/>
    <n v="1600000"/>
  </r>
  <r>
    <x v="110"/>
    <s v="PANJAR MANDOR REDESIGN UPD740"/>
    <x v="0"/>
    <n v="500000"/>
  </r>
  <r>
    <x v="110"/>
    <s v="BYAR MANDOR REDESIGN UPD740"/>
    <x v="0"/>
    <n v="100000"/>
  </r>
  <r>
    <x v="110"/>
    <s v="BYAR MANDOR REDESIGN UPD740"/>
    <x v="0"/>
    <n v="370000"/>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
  <r>
    <n v="1"/>
    <x v="0"/>
    <x v="0"/>
    <s v="4400047956/HK.810/TA-370002/01.2026"/>
    <x v="0"/>
    <n v="79279120"/>
    <n v="55495384"/>
    <n v="53000000"/>
    <n v="0.9550343862833709"/>
    <n v="2495384"/>
  </r>
  <r>
    <n v="2"/>
    <x v="0"/>
    <x v="1"/>
    <s v="4400048812/HK.810/TA-370002/03.2026"/>
    <x v="1"/>
    <n v="110798180"/>
    <n v="77558726"/>
    <n v="72000000"/>
    <n v="0.9283288124149951"/>
    <n v="5558726"/>
  </r>
  <r>
    <n v="3"/>
    <x v="0"/>
    <x v="2"/>
    <s v="4200040829/HK.810/TA-370002/04.2026"/>
    <x v="2"/>
    <n v="23353370"/>
    <n v="16347358.999999998"/>
    <n v="15100000"/>
    <n v="0.9236966044484618"/>
    <n v="1247358.9999999981"/>
  </r>
  <r>
    <n v="4"/>
    <x v="1"/>
    <x v="3"/>
    <s v="1032/HK-810/TA.0207/04-2026"/>
    <x v="3"/>
    <n v="32245530"/>
    <n v="22571871"/>
    <n v="22245149"/>
    <n v="0.98552525840680194"/>
    <n v="326722"/>
  </r>
  <r>
    <n v="5"/>
    <x v="0"/>
    <x v="4"/>
    <s v="4400050084/HK.810/TA-370002/05.2026"/>
    <x v="4"/>
    <n v="63640718"/>
    <n v="44548502.599999994"/>
    <n v="37942298.099999994"/>
    <n v="0.85170759701359744"/>
    <n v="6606204.5"/>
  </r>
  <r>
    <n v="6"/>
    <x v="2"/>
    <x v="5"/>
    <s v="4400050203/HK.810/TA-370002/05.2026"/>
    <x v="5"/>
    <n v="226574650"/>
    <n v="158602255"/>
    <n v="168065942"/>
    <n v="1.0596693092415364"/>
    <n v="-9463687"/>
  </r>
  <r>
    <n v="7"/>
    <x v="3"/>
    <x v="6"/>
    <s v="4400050523/HK.810/TA-370002/06.2026"/>
    <x v="6"/>
    <n v="14682170"/>
    <n v="10277519"/>
    <n v="8463750"/>
    <n v="0.82352073491666622"/>
    <n v="1813769"/>
  </r>
  <r>
    <n v="8"/>
    <x v="0"/>
    <x v="7"/>
    <s v="NOT AVAILABLE"/>
    <x v="7"/>
    <n v="8898600"/>
    <n v="6229020"/>
    <n v="4919261"/>
    <n v="0.78973273484432538"/>
    <n v="1309759"/>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
  <r>
    <n v="1"/>
    <s v="NODE-B"/>
    <x v="0"/>
    <x v="0"/>
    <x v="0"/>
    <n v="14862840"/>
    <d v="2026-01-10T00:00:00"/>
    <n v="14862840"/>
    <x v="0"/>
    <s v="4400047956/HK.810/TA-370002/01.2026"/>
    <s v="90%"/>
  </r>
  <r>
    <n v="2"/>
    <s v="NODE-B"/>
    <x v="1"/>
    <x v="0"/>
    <x v="0"/>
    <n v="61083710"/>
    <d v="2026-01-10T00:00:00"/>
    <n v="61083710"/>
    <x v="0"/>
    <s v="4400047956/HK.810/TA-370002/01.2026"/>
    <s v="90%"/>
  </r>
  <r>
    <n v="3"/>
    <s v="NODE-B"/>
    <x v="2"/>
    <x v="1"/>
    <x v="1"/>
    <n v="27112990"/>
    <d v="2026-02-13T00:00:00"/>
    <n v="27112990"/>
    <x v="1"/>
    <s v="4400048812/HK.810/TA-370002/03.2026"/>
    <s v="75%"/>
  </r>
  <r>
    <n v="4"/>
    <s v="NODE-B"/>
    <x v="3"/>
    <x v="1"/>
    <x v="1"/>
    <n v="36184890"/>
    <d v="2026-02-13T00:00:00"/>
    <n v="36184890"/>
    <x v="1"/>
    <s v="4400048812/HK.810/TA-370002/03.2026"/>
    <s v="75%"/>
  </r>
  <r>
    <n v="5"/>
    <s v="NODE-B"/>
    <x v="4"/>
    <x v="2"/>
    <x v="2"/>
    <n v="570590"/>
    <d v="2026-02-18T00:00:00"/>
    <n v="570590"/>
    <x v="1"/>
    <s v="4400048812/HK.810/TA-370002/03.2026"/>
    <s v="0%"/>
  </r>
  <r>
    <n v="6"/>
    <s v="NODE-B"/>
    <x v="5"/>
    <x v="2"/>
    <x v="1"/>
    <n v="6955430"/>
    <d v="2026-02-18T00:00:00"/>
    <n v="6955430"/>
    <x v="1"/>
    <s v="4400048812/HK.810/TA-370002/03.2026"/>
    <s v="75%"/>
  </r>
  <r>
    <n v="7"/>
    <s v="NODE-B"/>
    <x v="6"/>
    <x v="2"/>
    <x v="1"/>
    <n v="5579410"/>
    <d v="2026-02-18T00:00:00"/>
    <n v="5579410"/>
    <x v="1"/>
    <s v="4400048812/HK.810/TA-370002/03.2026"/>
    <s v="75%"/>
  </r>
  <r>
    <n v="8"/>
    <s v="NODE-B"/>
    <x v="7"/>
    <x v="3"/>
    <x v="1"/>
    <n v="32244070"/>
    <d v="2026-02-07T00:00:00"/>
    <n v="32244070"/>
    <x v="1"/>
    <s v="4400048812/HK.810/TA-370002/03.2026"/>
    <s v="75%"/>
  </r>
  <r>
    <n v="9"/>
    <s v="NODE-B"/>
    <x v="8"/>
    <x v="4"/>
    <x v="2"/>
    <n v="6346650"/>
    <d v="2026-02-10T00:00:00"/>
    <n v="6346650"/>
    <x v="1"/>
    <s v="4400048812/HK.810/TA-370002/03.2026"/>
    <s v="0%"/>
  </r>
  <r>
    <n v="10"/>
    <s v="NODE-B"/>
    <x v="9"/>
    <x v="4"/>
    <x v="2"/>
    <n v="34420950"/>
    <d v="2026-02-10T00:00:00"/>
    <n v="34420950"/>
    <x v="1"/>
    <s v="4400048812/HK.810/TA-370002/03.2026"/>
    <s v="0%"/>
  </r>
  <r>
    <n v="11"/>
    <s v="NODE-B"/>
    <x v="10"/>
    <x v="5"/>
    <x v="3"/>
    <n v="5275380"/>
    <d v="2026-03-29T00:00:00"/>
    <n v="5275380"/>
    <x v="2"/>
    <s v="4200040829/HK.810/TA-370002/04.2026"/>
    <s v="70%"/>
  </r>
  <r>
    <n v="12"/>
    <s v="NODE-B"/>
    <x v="11"/>
    <x v="5"/>
    <x v="3"/>
    <n v="680200"/>
    <d v="2026-03-29T00:00:00"/>
    <n v="680200"/>
    <x v="2"/>
    <s v="4200040829/HK.810/TA-370002/04.2026"/>
    <s v="70%"/>
  </r>
  <r>
    <n v="13"/>
    <s v="NODE-B"/>
    <x v="12"/>
    <x v="6"/>
    <x v="3"/>
    <n v="3834770"/>
    <d v="2026-02-11T00:00:00"/>
    <n v="3834770"/>
    <x v="2"/>
    <s v="4200040829/HK.810/TA-370002/04.2026"/>
    <s v="70%"/>
  </r>
  <r>
    <n v="14"/>
    <s v="NODE-B"/>
    <x v="13"/>
    <x v="6"/>
    <x v="3"/>
    <n v="437590"/>
    <d v="2026-03-29T00:00:00"/>
    <n v="437590"/>
    <x v="2"/>
    <s v="4200040829/HK.810/TA-370002/04.2026"/>
    <s v="70%"/>
  </r>
  <r>
    <n v="15"/>
    <s v="NODE-B"/>
    <x v="14"/>
    <x v="6"/>
    <x v="3"/>
    <n v="1917070"/>
    <d v="2026-02-11T00:00:00"/>
    <n v="1917070"/>
    <x v="2"/>
    <s v="4200040829/HK.810/TA-370002/04.2026"/>
    <s v="70%"/>
  </r>
  <r>
    <n v="16"/>
    <s v="NODE-B"/>
    <x v="15"/>
    <x v="7"/>
    <x v="3"/>
    <n v="7258680"/>
    <d v="2026-03-16T00:00:00"/>
    <n v="7258680"/>
    <x v="3"/>
    <s v="4400050084/HK.810/TA-370002/05.2026"/>
    <s v="70%"/>
  </r>
  <r>
    <n v="17"/>
    <s v="NODE-B"/>
    <x v="16"/>
    <x v="8"/>
    <x v="4"/>
    <n v="60330170"/>
    <d v="2026-04-20T00:00:00"/>
    <n v="60330170"/>
    <x v="4"/>
    <s v="4400050203/HK.810/TA-370002/05.2026"/>
    <s v="65%"/>
  </r>
  <r>
    <n v="18"/>
    <s v="JPP MD"/>
    <x v="17"/>
    <x v="9"/>
    <x v="5"/>
    <n v="79695390"/>
    <d v="2026-03-26T00:00:00"/>
    <n v="76276790"/>
    <x v="4"/>
    <s v="4400050203/HK.810/TA-370002/05.2026"/>
    <n v="0.5"/>
  </r>
  <r>
    <n v="19"/>
    <s v="JPP MD"/>
    <x v="18"/>
    <x v="9"/>
    <x v="5"/>
    <n v="145297850"/>
    <d v="2026-03-27T00:00:00"/>
    <n v="135548650"/>
    <x v="4"/>
    <s v="4400050203/HK.810/TA-370002/05.2026"/>
    <n v="0.5"/>
  </r>
  <r>
    <n v="20"/>
    <s v="JPP MD"/>
    <x v="19"/>
    <x v="9"/>
    <x v="5"/>
    <n v="31215750"/>
    <d v="2026-03-27T00:00:00"/>
    <n v="30700350"/>
    <x v="4"/>
    <s v="4400050203/HK.810/TA-370002/05.2026"/>
    <n v="0.5"/>
  </r>
  <r>
    <n v="21"/>
    <s v="JPP MD"/>
    <x v="20"/>
    <x v="9"/>
    <x v="2"/>
    <n v="141171910"/>
    <d v="2026-03-25T00:00:00"/>
    <n v="141125804"/>
    <x v="4"/>
    <s v="4400050203/HK.810/TA-370002/05.2026"/>
    <s v="0%"/>
  </r>
  <r>
    <n v="22"/>
    <s v="MITRATEL"/>
    <x v="21"/>
    <x v="10"/>
    <x v="3"/>
    <n v="35425510"/>
    <d v="2026-03-29T00:00:00"/>
    <n v="35425510"/>
    <x v="5"/>
    <s v="1032/HK-810/TA.0207/04-2026"/>
    <s v="70%"/>
  </r>
  <r>
    <n v="23"/>
    <s v="HEM"/>
    <x v="22"/>
    <x v="11"/>
    <x v="5"/>
    <n v="2729700"/>
    <d v="2026-04-11T00:00:00"/>
    <n v="2288500"/>
    <x v="6"/>
    <s v="4400050523/HK.810/TA-370002/06.2026"/>
    <n v="0.5"/>
  </r>
  <r>
    <n v="24"/>
    <s v="HEM"/>
    <x v="23"/>
    <x v="11"/>
    <x v="5"/>
    <n v="7238240"/>
    <d v="2026-04-11T00:00:00"/>
    <n v="6956400"/>
    <x v="6"/>
    <s v="4400050523/HK.810/TA-370002/06.2026"/>
    <n v="0.5"/>
  </r>
  <r>
    <n v="25"/>
    <s v="HEM"/>
    <x v="24"/>
    <x v="12"/>
    <x v="5"/>
    <n v="278300"/>
    <d v="2026-04-24T00:00:00"/>
    <n v="593230"/>
    <x v="6"/>
    <s v="4400050523/HK.810/TA-370002/06.2026"/>
    <n v="0.5"/>
  </r>
  <r>
    <n v="26"/>
    <s v="HEM"/>
    <x v="25"/>
    <x v="13"/>
    <x v="5"/>
    <n v="2569200"/>
    <d v="2026-04-29T00:00:00"/>
    <n v="4844040"/>
    <x v="6"/>
    <s v="4400050523/HK.810/TA-370002/06.2026"/>
    <n v="0.5"/>
  </r>
  <r>
    <n v="27"/>
    <s v="NODE-B"/>
    <x v="26"/>
    <x v="14"/>
    <x v="6"/>
    <n v="4226100"/>
    <d v="2026-07-27T00:00:00"/>
    <n v="4226100"/>
    <x v="7"/>
    <s v="NOT AVAILABLE"/>
    <s v="40%"/>
  </r>
  <r>
    <n v="28"/>
    <s v="NODE-B"/>
    <x v="27"/>
    <x v="14"/>
    <x v="6"/>
    <n v="4672500"/>
    <d v="2026-07-27T00:00:00"/>
    <n v="4672500"/>
    <x v="7"/>
    <s v="NOT AVAILABLE"/>
    <s v="4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ABA1673-8AB7-4E7F-B9F8-4E503FE3E5A4}" name="PivotTable3"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26">
  <location ref="F7:H17" firstHeaderRow="1" firstDataRow="2" firstDataCol="1"/>
  <pivotFields count="6">
    <pivotField axis="axisRow" numFmtId="169" showAll="0">
      <items count="109">
        <item x="0"/>
        <item x="1"/>
        <item x="2"/>
        <item x="3"/>
        <item x="4"/>
        <item x="5"/>
        <item x="6"/>
        <item x="7"/>
        <item x="8"/>
        <item x="9"/>
        <item x="10"/>
        <item x="11"/>
        <item x="12"/>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3"/>
        <item x="14"/>
        <item x="107"/>
        <item t="default"/>
      </items>
    </pivotField>
    <pivotField showAll="0"/>
    <pivotField axis="axisCol" showAll="0">
      <items count="4">
        <item x="0"/>
        <item x="1"/>
        <item h="1" m="1" x="2"/>
        <item t="default"/>
      </items>
    </pivotField>
    <pivotField dataField="1" numFmtId="3"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5"/>
    <field x="4"/>
    <field x="0"/>
  </rowFields>
  <rowItems count="9">
    <i>
      <x v="1"/>
    </i>
    <i>
      <x v="2"/>
    </i>
    <i>
      <x v="3"/>
    </i>
    <i>
      <x v="4"/>
    </i>
    <i>
      <x v="5"/>
    </i>
    <i>
      <x v="6"/>
    </i>
    <i>
      <x v="7"/>
    </i>
    <i>
      <x v="8"/>
    </i>
    <i t="grand">
      <x/>
    </i>
  </rowItems>
  <colFields count="1">
    <field x="2"/>
  </colFields>
  <colItems count="2">
    <i>
      <x/>
    </i>
    <i>
      <x v="1"/>
    </i>
  </colItems>
  <dataFields count="1">
    <dataField name="Sum of CATATAN KAS" fld="3" baseField="0" baseItem="0" numFmtId="3"/>
  </dataFields>
  <chartFormats count="60">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5" count="1" selected="0">
            <x v="3"/>
          </reference>
        </references>
      </pivotArea>
    </chartFormat>
    <chartFormat chart="0" format="3" series="1">
      <pivotArea type="data" outline="0" fieldPosition="0">
        <references count="2">
          <reference field="4294967294" count="1" selected="0">
            <x v="0"/>
          </reference>
          <reference field="5" count="1" selected="0">
            <x v="4"/>
          </reference>
        </references>
      </pivotArea>
    </chartFormat>
    <chartFormat chart="0" format="4" series="1">
      <pivotArea type="data" outline="0" fieldPosition="0">
        <references count="2">
          <reference field="4294967294" count="1" selected="0">
            <x v="0"/>
          </reference>
          <reference field="5" count="1" selected="0">
            <x v="5"/>
          </reference>
        </references>
      </pivotArea>
    </chartFormat>
    <chartFormat chart="0" format="5" series="1">
      <pivotArea type="data" outline="0" fieldPosition="0">
        <references count="2">
          <reference field="4294967294" count="1" selected="0">
            <x v="0"/>
          </reference>
          <reference field="5" count="1" selected="0">
            <x v="6"/>
          </reference>
        </references>
      </pivotArea>
    </chartFormat>
    <chartFormat chart="0" format="6" series="1">
      <pivotArea type="data" outline="0" fieldPosition="0">
        <references count="2">
          <reference field="4294967294" count="1" selected="0">
            <x v="0"/>
          </reference>
          <reference field="5" count="1" selected="0">
            <x v="7"/>
          </reference>
        </references>
      </pivotArea>
    </chartFormat>
    <chartFormat chart="0" format="7" series="1">
      <pivotArea type="data" outline="0" fieldPosition="0">
        <references count="2">
          <reference field="4294967294" count="1" selected="0">
            <x v="0"/>
          </reference>
          <reference field="5" count="1" selected="0">
            <x v="8"/>
          </reference>
        </references>
      </pivotArea>
    </chartFormat>
    <chartFormat chart="0" format="8" series="1">
      <pivotArea type="data" outline="0" fieldPosition="0">
        <references count="2">
          <reference field="4294967294" count="1" selected="0">
            <x v="0"/>
          </reference>
          <reference field="5" count="1" selected="0">
            <x v="1"/>
          </reference>
        </references>
      </pivotArea>
    </chartFormat>
    <chartFormat chart="0" format="9" series="1">
      <pivotArea type="data" outline="0" fieldPosition="0">
        <references count="2">
          <reference field="4294967294" count="1" selected="0">
            <x v="0"/>
          </reference>
          <reference field="5" count="1" selected="0">
            <x v="2"/>
          </reference>
        </references>
      </pivotArea>
    </chartFormat>
    <chartFormat chart="0" format="10" series="1">
      <pivotArea type="data" outline="0" fieldPosition="0">
        <references count="1">
          <reference field="4294967294" count="1" selected="0">
            <x v="0"/>
          </reference>
        </references>
      </pivotArea>
    </chartFormat>
    <chartFormat chart="0" format="11">
      <pivotArea type="data" outline="0" fieldPosition="0">
        <references count="3">
          <reference field="4294967294" count="1" selected="0">
            <x v="0"/>
          </reference>
          <reference field="2" count="1" selected="0">
            <x v="0"/>
          </reference>
          <reference field="5" count="1" selected="0">
            <x v="2"/>
          </reference>
        </references>
      </pivotArea>
    </chartFormat>
    <chartFormat chart="0" format="12">
      <pivotArea type="data" outline="0" fieldPosition="0">
        <references count="3">
          <reference field="4294967294" count="1" selected="0">
            <x v="0"/>
          </reference>
          <reference field="2" count="1" selected="0">
            <x v="1"/>
          </reference>
          <reference field="5" count="1" selected="0">
            <x v="1"/>
          </reference>
        </references>
      </pivotArea>
    </chartFormat>
    <chartFormat chart="0" format="13">
      <pivotArea type="data" outline="0" fieldPosition="0">
        <references count="3">
          <reference field="4294967294" count="1" selected="0">
            <x v="0"/>
          </reference>
          <reference field="2" count="1" selected="0">
            <x v="1"/>
          </reference>
          <reference field="5" count="1" selected="0">
            <x v="5"/>
          </reference>
        </references>
      </pivotArea>
    </chartFormat>
    <chartFormat chart="0" format="14">
      <pivotArea type="data" outline="0" fieldPosition="0">
        <references count="3">
          <reference field="4294967294" count="1" selected="0">
            <x v="0"/>
          </reference>
          <reference field="2" count="1" selected="0">
            <x v="1"/>
          </reference>
          <reference field="5" count="1" selected="0">
            <x v="3"/>
          </reference>
        </references>
      </pivotArea>
    </chartFormat>
    <chartFormat chart="0" format="15">
      <pivotArea type="data" outline="0" fieldPosition="0">
        <references count="3">
          <reference field="4294967294" count="1" selected="0">
            <x v="0"/>
          </reference>
          <reference field="2" count="1" selected="0">
            <x v="0"/>
          </reference>
          <reference field="5" count="1" selected="0">
            <x v="3"/>
          </reference>
        </references>
      </pivotArea>
    </chartFormat>
    <chartFormat chart="0" format="16">
      <pivotArea type="data" outline="0" fieldPosition="0">
        <references count="3">
          <reference field="4294967294" count="1" selected="0">
            <x v="0"/>
          </reference>
          <reference field="2" count="1" selected="0">
            <x v="1"/>
          </reference>
          <reference field="5" count="1" selected="0">
            <x v="7"/>
          </reference>
        </references>
      </pivotArea>
    </chartFormat>
    <chartFormat chart="0" format="17">
      <pivotArea type="data" outline="0" fieldPosition="0">
        <references count="3">
          <reference field="4294967294" count="1" selected="0">
            <x v="0"/>
          </reference>
          <reference field="2" count="1" selected="0">
            <x v="1"/>
          </reference>
          <reference field="5" count="1" selected="0">
            <x v="8"/>
          </reference>
        </references>
      </pivotArea>
    </chartFormat>
    <chartFormat chart="4" format="27" series="1">
      <pivotArea type="data" outline="0" fieldPosition="0">
        <references count="2">
          <reference field="4294967294" count="1" selected="0">
            <x v="0"/>
          </reference>
          <reference field="2" count="1" selected="0">
            <x v="0"/>
          </reference>
        </references>
      </pivotArea>
    </chartFormat>
    <chartFormat chart="4" format="28">
      <pivotArea type="data" outline="0" fieldPosition="0">
        <references count="3">
          <reference field="4294967294" count="1" selected="0">
            <x v="0"/>
          </reference>
          <reference field="2" count="1" selected="0">
            <x v="0"/>
          </reference>
          <reference field="5" count="1" selected="0">
            <x v="2"/>
          </reference>
        </references>
      </pivotArea>
    </chartFormat>
    <chartFormat chart="4" format="29">
      <pivotArea type="data" outline="0" fieldPosition="0">
        <references count="3">
          <reference field="4294967294" count="1" selected="0">
            <x v="0"/>
          </reference>
          <reference field="2" count="1" selected="0">
            <x v="0"/>
          </reference>
          <reference field="5" count="1" selected="0">
            <x v="3"/>
          </reference>
        </references>
      </pivotArea>
    </chartFormat>
    <chartFormat chart="4" format="30" series="1">
      <pivotArea type="data" outline="0" fieldPosition="0">
        <references count="2">
          <reference field="4294967294" count="1" selected="0">
            <x v="0"/>
          </reference>
          <reference field="2" count="1" selected="0">
            <x v="1"/>
          </reference>
        </references>
      </pivotArea>
    </chartFormat>
    <chartFormat chart="4" format="31">
      <pivotArea type="data" outline="0" fieldPosition="0">
        <references count="3">
          <reference field="4294967294" count="1" selected="0">
            <x v="0"/>
          </reference>
          <reference field="2" count="1" selected="0">
            <x v="1"/>
          </reference>
          <reference field="5" count="1" selected="0">
            <x v="1"/>
          </reference>
        </references>
      </pivotArea>
    </chartFormat>
    <chartFormat chart="4" format="32">
      <pivotArea type="data" outline="0" fieldPosition="0">
        <references count="3">
          <reference field="4294967294" count="1" selected="0">
            <x v="0"/>
          </reference>
          <reference field="2" count="1" selected="0">
            <x v="1"/>
          </reference>
          <reference field="5" count="1" selected="0">
            <x v="3"/>
          </reference>
        </references>
      </pivotArea>
    </chartFormat>
    <chartFormat chart="4" format="33">
      <pivotArea type="data" outline="0" fieldPosition="0">
        <references count="3">
          <reference field="4294967294" count="1" selected="0">
            <x v="0"/>
          </reference>
          <reference field="2" count="1" selected="0">
            <x v="1"/>
          </reference>
          <reference field="5" count="1" selected="0">
            <x v="5"/>
          </reference>
        </references>
      </pivotArea>
    </chartFormat>
    <chartFormat chart="4" format="34">
      <pivotArea type="data" outline="0" fieldPosition="0">
        <references count="3">
          <reference field="4294967294" count="1" selected="0">
            <x v="0"/>
          </reference>
          <reference field="2" count="1" selected="0">
            <x v="1"/>
          </reference>
          <reference field="5" count="1" selected="0">
            <x v="7"/>
          </reference>
        </references>
      </pivotArea>
    </chartFormat>
    <chartFormat chart="4" format="35">
      <pivotArea type="data" outline="0" fieldPosition="0">
        <references count="3">
          <reference field="4294967294" count="1" selected="0">
            <x v="0"/>
          </reference>
          <reference field="2" count="1" selected="0">
            <x v="1"/>
          </reference>
          <reference field="5" count="1" selected="0">
            <x v="8"/>
          </reference>
        </references>
      </pivotArea>
    </chartFormat>
    <chartFormat chart="4" format="36">
      <pivotArea type="data" outline="0" fieldPosition="0">
        <references count="3">
          <reference field="4294967294" count="1" selected="0">
            <x v="0"/>
          </reference>
          <reference field="2" count="1" selected="0">
            <x v="0"/>
          </reference>
          <reference field="5" count="1" selected="0">
            <x v="1"/>
          </reference>
        </references>
      </pivotArea>
    </chartFormat>
    <chartFormat chart="4" format="37">
      <pivotArea type="data" outline="0" fieldPosition="0">
        <references count="3">
          <reference field="4294967294" count="1" selected="0">
            <x v="0"/>
          </reference>
          <reference field="2" count="1" selected="0">
            <x v="0"/>
          </reference>
          <reference field="5" count="1" selected="0">
            <x v="7"/>
          </reference>
        </references>
      </pivotArea>
    </chartFormat>
    <chartFormat chart="7" format="49" series="1">
      <pivotArea type="data" outline="0" fieldPosition="0">
        <references count="2">
          <reference field="4294967294" count="1" selected="0">
            <x v="0"/>
          </reference>
          <reference field="2" count="1" selected="0">
            <x v="0"/>
          </reference>
        </references>
      </pivotArea>
    </chartFormat>
    <chartFormat chart="7" format="50">
      <pivotArea type="data" outline="0" fieldPosition="0">
        <references count="3">
          <reference field="4294967294" count="1" selected="0">
            <x v="0"/>
          </reference>
          <reference field="2" count="1" selected="0">
            <x v="0"/>
          </reference>
          <reference field="5" count="1" selected="0">
            <x v="1"/>
          </reference>
        </references>
      </pivotArea>
    </chartFormat>
    <chartFormat chart="7" format="51">
      <pivotArea type="data" outline="0" fieldPosition="0">
        <references count="3">
          <reference field="4294967294" count="1" selected="0">
            <x v="0"/>
          </reference>
          <reference field="2" count="1" selected="0">
            <x v="0"/>
          </reference>
          <reference field="5" count="1" selected="0">
            <x v="2"/>
          </reference>
        </references>
      </pivotArea>
    </chartFormat>
    <chartFormat chart="7" format="52">
      <pivotArea type="data" outline="0" fieldPosition="0">
        <references count="3">
          <reference field="4294967294" count="1" selected="0">
            <x v="0"/>
          </reference>
          <reference field="2" count="1" selected="0">
            <x v="0"/>
          </reference>
          <reference field="5" count="1" selected="0">
            <x v="3"/>
          </reference>
        </references>
      </pivotArea>
    </chartFormat>
    <chartFormat chart="7" format="53">
      <pivotArea type="data" outline="0" fieldPosition="0">
        <references count="3">
          <reference field="4294967294" count="1" selected="0">
            <x v="0"/>
          </reference>
          <reference field="2" count="1" selected="0">
            <x v="0"/>
          </reference>
          <reference field="5" count="1" selected="0">
            <x v="7"/>
          </reference>
        </references>
      </pivotArea>
    </chartFormat>
    <chartFormat chart="7" format="54" series="1">
      <pivotArea type="data" outline="0" fieldPosition="0">
        <references count="2">
          <reference field="4294967294" count="1" selected="0">
            <x v="0"/>
          </reference>
          <reference field="2" count="1" selected="0">
            <x v="1"/>
          </reference>
        </references>
      </pivotArea>
    </chartFormat>
    <chartFormat chart="7" format="55">
      <pivotArea type="data" outline="0" fieldPosition="0">
        <references count="3">
          <reference field="4294967294" count="1" selected="0">
            <x v="0"/>
          </reference>
          <reference field="2" count="1" selected="0">
            <x v="1"/>
          </reference>
          <reference field="5" count="1" selected="0">
            <x v="1"/>
          </reference>
        </references>
      </pivotArea>
    </chartFormat>
    <chartFormat chart="7" format="56">
      <pivotArea type="data" outline="0" fieldPosition="0">
        <references count="3">
          <reference field="4294967294" count="1" selected="0">
            <x v="0"/>
          </reference>
          <reference field="2" count="1" selected="0">
            <x v="1"/>
          </reference>
          <reference field="5" count="1" selected="0">
            <x v="3"/>
          </reference>
        </references>
      </pivotArea>
    </chartFormat>
    <chartFormat chart="7" format="57">
      <pivotArea type="data" outline="0" fieldPosition="0">
        <references count="3">
          <reference field="4294967294" count="1" selected="0">
            <x v="0"/>
          </reference>
          <reference field="2" count="1" selected="0">
            <x v="1"/>
          </reference>
          <reference field="5" count="1" selected="0">
            <x v="5"/>
          </reference>
        </references>
      </pivotArea>
    </chartFormat>
    <chartFormat chart="7" format="58">
      <pivotArea type="data" outline="0" fieldPosition="0">
        <references count="3">
          <reference field="4294967294" count="1" selected="0">
            <x v="0"/>
          </reference>
          <reference field="2" count="1" selected="0">
            <x v="1"/>
          </reference>
          <reference field="5" count="1" selected="0">
            <x v="7"/>
          </reference>
        </references>
      </pivotArea>
    </chartFormat>
    <chartFormat chart="7" format="59">
      <pivotArea type="data" outline="0" fieldPosition="0">
        <references count="3">
          <reference field="4294967294" count="1" selected="0">
            <x v="0"/>
          </reference>
          <reference field="2" count="1" selected="0">
            <x v="1"/>
          </reference>
          <reference field="5" count="1" selected="0">
            <x v="8"/>
          </reference>
        </references>
      </pivotArea>
    </chartFormat>
    <chartFormat chart="14" format="27" series="1">
      <pivotArea type="data" outline="0" fieldPosition="0">
        <references count="2">
          <reference field="4294967294" count="1" selected="0">
            <x v="0"/>
          </reference>
          <reference field="2" count="1" selected="0">
            <x v="0"/>
          </reference>
        </references>
      </pivotArea>
    </chartFormat>
    <chartFormat chart="14" format="28">
      <pivotArea type="data" outline="0" fieldPosition="0">
        <references count="3">
          <reference field="4294967294" count="1" selected="0">
            <x v="0"/>
          </reference>
          <reference field="2" count="1" selected="0">
            <x v="0"/>
          </reference>
          <reference field="5" count="1" selected="0">
            <x v="2"/>
          </reference>
        </references>
      </pivotArea>
    </chartFormat>
    <chartFormat chart="14" format="29">
      <pivotArea type="data" outline="0" fieldPosition="0">
        <references count="3">
          <reference field="4294967294" count="1" selected="0">
            <x v="0"/>
          </reference>
          <reference field="2" count="1" selected="0">
            <x v="0"/>
          </reference>
          <reference field="5" count="1" selected="0">
            <x v="3"/>
          </reference>
        </references>
      </pivotArea>
    </chartFormat>
    <chartFormat chart="14" format="30" series="1">
      <pivotArea type="data" outline="0" fieldPosition="0">
        <references count="2">
          <reference field="4294967294" count="1" selected="0">
            <x v="0"/>
          </reference>
          <reference field="2" count="1" selected="0">
            <x v="1"/>
          </reference>
        </references>
      </pivotArea>
    </chartFormat>
    <chartFormat chart="14" format="31">
      <pivotArea type="data" outline="0" fieldPosition="0">
        <references count="3">
          <reference field="4294967294" count="1" selected="0">
            <x v="0"/>
          </reference>
          <reference field="2" count="1" selected="0">
            <x v="1"/>
          </reference>
          <reference field="5" count="1" selected="0">
            <x v="1"/>
          </reference>
        </references>
      </pivotArea>
    </chartFormat>
    <chartFormat chart="14" format="32">
      <pivotArea type="data" outline="0" fieldPosition="0">
        <references count="3">
          <reference field="4294967294" count="1" selected="0">
            <x v="0"/>
          </reference>
          <reference field="2" count="1" selected="0">
            <x v="1"/>
          </reference>
          <reference field="5" count="1" selected="0">
            <x v="3"/>
          </reference>
        </references>
      </pivotArea>
    </chartFormat>
    <chartFormat chart="14" format="33">
      <pivotArea type="data" outline="0" fieldPosition="0">
        <references count="3">
          <reference field="4294967294" count="1" selected="0">
            <x v="0"/>
          </reference>
          <reference field="2" count="1" selected="0">
            <x v="1"/>
          </reference>
          <reference field="5" count="1" selected="0">
            <x v="5"/>
          </reference>
        </references>
      </pivotArea>
    </chartFormat>
    <chartFormat chart="14" format="34">
      <pivotArea type="data" outline="0" fieldPosition="0">
        <references count="3">
          <reference field="4294967294" count="1" selected="0">
            <x v="0"/>
          </reference>
          <reference field="2" count="1" selected="0">
            <x v="1"/>
          </reference>
          <reference field="5" count="1" selected="0">
            <x v="7"/>
          </reference>
        </references>
      </pivotArea>
    </chartFormat>
    <chartFormat chart="14" format="35">
      <pivotArea type="data" outline="0" fieldPosition="0">
        <references count="3">
          <reference field="4294967294" count="1" selected="0">
            <x v="0"/>
          </reference>
          <reference field="2" count="1" selected="0">
            <x v="1"/>
          </reference>
          <reference field="5" count="1" selected="0">
            <x v="8"/>
          </reference>
        </references>
      </pivotArea>
    </chartFormat>
    <chartFormat chart="17" format="49" series="1">
      <pivotArea type="data" outline="0" fieldPosition="0">
        <references count="2">
          <reference field="4294967294" count="1" selected="0">
            <x v="0"/>
          </reference>
          <reference field="2" count="1" selected="0">
            <x v="0"/>
          </reference>
        </references>
      </pivotArea>
    </chartFormat>
    <chartFormat chart="17" format="50">
      <pivotArea type="data" outline="0" fieldPosition="0">
        <references count="3">
          <reference field="4294967294" count="1" selected="0">
            <x v="0"/>
          </reference>
          <reference field="2" count="1" selected="0">
            <x v="0"/>
          </reference>
          <reference field="5" count="1" selected="0">
            <x v="1"/>
          </reference>
        </references>
      </pivotArea>
    </chartFormat>
    <chartFormat chart="17" format="51">
      <pivotArea type="data" outline="0" fieldPosition="0">
        <references count="3">
          <reference field="4294967294" count="1" selected="0">
            <x v="0"/>
          </reference>
          <reference field="2" count="1" selected="0">
            <x v="0"/>
          </reference>
          <reference field="5" count="1" selected="0">
            <x v="2"/>
          </reference>
        </references>
      </pivotArea>
    </chartFormat>
    <chartFormat chart="17" format="52">
      <pivotArea type="data" outline="0" fieldPosition="0">
        <references count="3">
          <reference field="4294967294" count="1" selected="0">
            <x v="0"/>
          </reference>
          <reference field="2" count="1" selected="0">
            <x v="0"/>
          </reference>
          <reference field="5" count="1" selected="0">
            <x v="3"/>
          </reference>
        </references>
      </pivotArea>
    </chartFormat>
    <chartFormat chart="17" format="53">
      <pivotArea type="data" outline="0" fieldPosition="0">
        <references count="3">
          <reference field="4294967294" count="1" selected="0">
            <x v="0"/>
          </reference>
          <reference field="2" count="1" selected="0">
            <x v="0"/>
          </reference>
          <reference field="5" count="1" selected="0">
            <x v="7"/>
          </reference>
        </references>
      </pivotArea>
    </chartFormat>
    <chartFormat chart="17" format="54" series="1">
      <pivotArea type="data" outline="0" fieldPosition="0">
        <references count="2">
          <reference field="4294967294" count="1" selected="0">
            <x v="0"/>
          </reference>
          <reference field="2" count="1" selected="0">
            <x v="1"/>
          </reference>
        </references>
      </pivotArea>
    </chartFormat>
    <chartFormat chart="17" format="55">
      <pivotArea type="data" outline="0" fieldPosition="0">
        <references count="3">
          <reference field="4294967294" count="1" selected="0">
            <x v="0"/>
          </reference>
          <reference field="2" count="1" selected="0">
            <x v="1"/>
          </reference>
          <reference field="5" count="1" selected="0">
            <x v="1"/>
          </reference>
        </references>
      </pivotArea>
    </chartFormat>
    <chartFormat chart="17" format="56">
      <pivotArea type="data" outline="0" fieldPosition="0">
        <references count="3">
          <reference field="4294967294" count="1" selected="0">
            <x v="0"/>
          </reference>
          <reference field="2" count="1" selected="0">
            <x v="1"/>
          </reference>
          <reference field="5" count="1" selected="0">
            <x v="3"/>
          </reference>
        </references>
      </pivotArea>
    </chartFormat>
    <chartFormat chart="17" format="57">
      <pivotArea type="data" outline="0" fieldPosition="0">
        <references count="3">
          <reference field="4294967294" count="1" selected="0">
            <x v="0"/>
          </reference>
          <reference field="2" count="1" selected="0">
            <x v="1"/>
          </reference>
          <reference field="5" count="1" selected="0">
            <x v="5"/>
          </reference>
        </references>
      </pivotArea>
    </chartFormat>
    <chartFormat chart="17" format="58">
      <pivotArea type="data" outline="0" fieldPosition="0">
        <references count="3">
          <reference field="4294967294" count="1" selected="0">
            <x v="0"/>
          </reference>
          <reference field="2" count="1" selected="0">
            <x v="1"/>
          </reference>
          <reference field="5" count="1" selected="0">
            <x v="7"/>
          </reference>
        </references>
      </pivotArea>
    </chartFormat>
    <chartFormat chart="17" format="59">
      <pivotArea type="data" outline="0" fieldPosition="0">
        <references count="3">
          <reference field="4294967294" count="1" selected="0">
            <x v="0"/>
          </reference>
          <reference field="2" count="1" selected="0">
            <x v="1"/>
          </reference>
          <reference field="5"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E13F5F1-632F-455E-B7EB-208CBB4DB2CD}" name="PivotTable3"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A17:B19" firstHeaderRow="1" firstDataRow="1" firstDataCol="1"/>
  <pivotFields count="13">
    <pivotField showAll="0"/>
    <pivotField showAll="0"/>
    <pivotField showAll="0"/>
    <pivotField numFmtId="14" showAll="0">
      <items count="16">
        <item x="0"/>
        <item x="3"/>
        <item x="4"/>
        <item x="1"/>
        <item x="2"/>
        <item x="5"/>
        <item x="6"/>
        <item x="9"/>
        <item x="7"/>
        <item x="10"/>
        <item x="11"/>
        <item x="12"/>
        <item x="13"/>
        <item x="8"/>
        <item x="14"/>
        <item t="default"/>
      </items>
    </pivotField>
    <pivotField axis="axisRow" showAll="0">
      <items count="9">
        <item h="1" x="6"/>
        <item h="1" x="2"/>
        <item h="1" x="3"/>
        <item h="1" x="5"/>
        <item h="1" x="4"/>
        <item h="1" m="1" x="7"/>
        <item h="1" x="1"/>
        <item x="0"/>
        <item t="default"/>
      </items>
    </pivotField>
    <pivotField dataField="1" numFmtId="3" showAll="0"/>
    <pivotField numFmtId="14" showAll="0"/>
    <pivotField numFmtId="3" showAll="0"/>
    <pivotField showAll="0">
      <items count="9">
        <item x="6"/>
        <item x="4"/>
        <item x="5"/>
        <item x="7"/>
        <item x="3"/>
        <item x="2"/>
        <item x="1"/>
        <item x="0"/>
        <item t="default"/>
      </items>
    </pivotField>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4"/>
  </rowFields>
  <rowItems count="2">
    <i>
      <x v="7"/>
    </i>
    <i t="grand">
      <x/>
    </i>
  </rowItems>
  <colItems count="1">
    <i/>
  </colItems>
  <dataFields count="1">
    <dataField name="Sum of NILAI" fld="5" baseField="0" baseItem="0" numFmtId="3"/>
  </dataFields>
  <formats count="3">
    <format dxfId="8">
      <pivotArea outline="0" fieldPosition="0">
        <references count="1">
          <reference field="4294967294" count="1">
            <x v="0"/>
          </reference>
        </references>
      </pivotArea>
    </format>
    <format dxfId="4">
      <pivotArea outline="0" collapsedLevelsAreSubtotals="1" fieldPosition="0"/>
    </format>
    <format dxfId="1">
      <pivotArea collapsedLevelsAreSubtotals="1" fieldPosition="0">
        <references count="1">
          <reference field="4" count="0"/>
        </references>
      </pivotArea>
    </format>
  </formats>
  <chartFormats count="11">
    <chartFormat chart="0" format="0" series="1">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0"/>
          </reference>
        </references>
      </pivotArea>
    </chartFormat>
    <chartFormat chart="9" format="11" series="1">
      <pivotArea type="data" outline="0" fieldPosition="0">
        <references count="1">
          <reference field="4294967294" count="1" selected="0">
            <x v="0"/>
          </reference>
        </references>
      </pivotArea>
    </chartFormat>
    <chartFormat chart="10" format="16" series="1">
      <pivotArea type="data" outline="0" fieldPosition="0">
        <references count="1">
          <reference field="4294967294" count="1" selected="0">
            <x v="0"/>
          </reference>
        </references>
      </pivotArea>
    </chartFormat>
    <chartFormat chart="2" format="11">
      <pivotArea type="data" outline="0" fieldPosition="0">
        <references count="2">
          <reference field="4294967294" count="1" selected="0">
            <x v="0"/>
          </reference>
          <reference field="4" count="1" selected="0">
            <x v="1"/>
          </reference>
        </references>
      </pivotArea>
    </chartFormat>
    <chartFormat chart="2" format="12">
      <pivotArea type="data" outline="0" fieldPosition="0">
        <references count="2">
          <reference field="4294967294" count="1" selected="0">
            <x v="0"/>
          </reference>
          <reference field="4" count="1" selected="0">
            <x v="0"/>
          </reference>
        </references>
      </pivotArea>
    </chartFormat>
    <chartFormat chart="2" format="13">
      <pivotArea type="data" outline="0" fieldPosition="0">
        <references count="2">
          <reference field="4294967294" count="1" selected="0">
            <x v="0"/>
          </reference>
          <reference field="4" count="1" selected="0">
            <x v="2"/>
          </reference>
        </references>
      </pivotArea>
    </chartFormat>
    <chartFormat chart="2" format="14">
      <pivotArea type="data" outline="0" fieldPosition="0">
        <references count="2">
          <reference field="4294967294" count="1" selected="0">
            <x v="0"/>
          </reference>
          <reference field="4" count="1" selected="0">
            <x v="3"/>
          </reference>
        </references>
      </pivotArea>
    </chartFormat>
    <chartFormat chart="2" format="15">
      <pivotArea type="data" outline="0" fieldPosition="0">
        <references count="2">
          <reference field="4294967294" count="1" selected="0">
            <x v="0"/>
          </reference>
          <reference field="4" count="1" selected="0">
            <x v="4"/>
          </reference>
        </references>
      </pivotArea>
    </chartFormat>
    <chartFormat chart="2" format="16">
      <pivotArea type="data" outline="0" fieldPosition="0">
        <references count="2">
          <reference field="4294967294" count="1" selected="0">
            <x v="0"/>
          </reference>
          <reference field="4" count="1" selected="0">
            <x v="5"/>
          </reference>
        </references>
      </pivotArea>
    </chartFormat>
    <chartFormat chart="2" format="17">
      <pivotArea type="data" outline="0" fieldPosition="0">
        <references count="2">
          <reference field="4294967294" count="1" selected="0">
            <x v="0"/>
          </reference>
          <reference field="4"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1423CD9-265F-4D9B-9E33-777E3FF53B4B}" name="PivotTable1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A10" firstHeaderRow="1" firstDataRow="1" firstDataCol="0"/>
  <pivotFields count="7">
    <pivotField showAll="0"/>
    <pivotField showAll="0"/>
    <pivotField dataField="1" showAll="0">
      <items count="9">
        <item x="6"/>
        <item x="5"/>
        <item x="3"/>
        <item x="7"/>
        <item x="4"/>
        <item x="2"/>
        <item x="1"/>
        <item x="0"/>
        <item t="default"/>
      </items>
    </pivotField>
    <pivotField showAll="0"/>
    <pivotField showAll="0"/>
    <pivotField numFmtId="3" showAll="0"/>
    <pivotField showAll="0"/>
  </pivotFields>
  <rowItems count="1">
    <i/>
  </rowItems>
  <colItems count="1">
    <i/>
  </colItems>
  <dataFields count="1">
    <dataField name="Count of NAMA PEKERJAAN"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49C2DE0-37CB-4FCD-BDF3-BA9C93B100A7}" name="PivotTable21"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D14:E22" firstHeaderRow="1" firstDataRow="1" firstDataCol="1"/>
  <pivotFields count="13">
    <pivotField showAll="0"/>
    <pivotField showAll="0"/>
    <pivotField showAll="0"/>
    <pivotField numFmtId="14" showAll="0">
      <items count="16">
        <item x="0"/>
        <item x="3"/>
        <item x="4"/>
        <item x="1"/>
        <item x="2"/>
        <item x="5"/>
        <item x="6"/>
        <item x="9"/>
        <item x="7"/>
        <item x="10"/>
        <item x="11"/>
        <item x="12"/>
        <item x="13"/>
        <item x="8"/>
        <item x="14"/>
        <item t="default"/>
      </items>
    </pivotField>
    <pivotField axis="axisRow" showAll="0">
      <items count="9">
        <item x="6"/>
        <item x="2"/>
        <item x="3"/>
        <item x="5"/>
        <item x="4"/>
        <item m="1" x="7"/>
        <item x="1"/>
        <item x="0"/>
        <item t="default"/>
      </items>
    </pivotField>
    <pivotField dataField="1" numFmtId="3" showAll="0"/>
    <pivotField numFmtId="14" showAll="0"/>
    <pivotField numFmtId="3" showAll="0"/>
    <pivotField showAll="0">
      <items count="9">
        <item x="6"/>
        <item x="4"/>
        <item x="5"/>
        <item x="7"/>
        <item x="3"/>
        <item x="2"/>
        <item x="1"/>
        <item x="0"/>
        <item t="default"/>
      </items>
    </pivotField>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4"/>
  </rowFields>
  <rowItems count="8">
    <i>
      <x/>
    </i>
    <i>
      <x v="1"/>
    </i>
    <i>
      <x v="2"/>
    </i>
    <i>
      <x v="3"/>
    </i>
    <i>
      <x v="4"/>
    </i>
    <i>
      <x v="6"/>
    </i>
    <i>
      <x v="7"/>
    </i>
    <i t="grand">
      <x/>
    </i>
  </rowItems>
  <colItems count="1">
    <i/>
  </colItems>
  <dataFields count="1">
    <dataField name="Sum of NILAI" fld="5" showDataAs="percentOfTotal" baseField="0" baseItem="0" numFmtId="10"/>
  </dataFields>
  <formats count="2">
    <format dxfId="78">
      <pivotArea outline="0" collapsedLevelsAreSubtotals="1" fieldPosition="0"/>
    </format>
    <format dxfId="77">
      <pivotArea outline="0" fieldPosition="0">
        <references count="1">
          <reference field="4294967294" count="1">
            <x v="0"/>
          </reference>
        </references>
      </pivotArea>
    </format>
  </formats>
  <chartFormats count="11">
    <chartFormat chart="0" format="0" series="1">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0"/>
          </reference>
        </references>
      </pivotArea>
    </chartFormat>
    <chartFormat chart="9" format="11" series="1">
      <pivotArea type="data" outline="0" fieldPosition="0">
        <references count="1">
          <reference field="4294967294" count="1" selected="0">
            <x v="0"/>
          </reference>
        </references>
      </pivotArea>
    </chartFormat>
    <chartFormat chart="10" format="16" series="1">
      <pivotArea type="data" outline="0" fieldPosition="0">
        <references count="1">
          <reference field="4294967294" count="1" selected="0">
            <x v="0"/>
          </reference>
        </references>
      </pivotArea>
    </chartFormat>
    <chartFormat chart="2" format="11">
      <pivotArea type="data" outline="0" fieldPosition="0">
        <references count="2">
          <reference field="4294967294" count="1" selected="0">
            <x v="0"/>
          </reference>
          <reference field="4" count="1" selected="0">
            <x v="1"/>
          </reference>
        </references>
      </pivotArea>
    </chartFormat>
    <chartFormat chart="2" format="12">
      <pivotArea type="data" outline="0" fieldPosition="0">
        <references count="2">
          <reference field="4294967294" count="1" selected="0">
            <x v="0"/>
          </reference>
          <reference field="4" count="1" selected="0">
            <x v="0"/>
          </reference>
        </references>
      </pivotArea>
    </chartFormat>
    <chartFormat chart="2" format="13">
      <pivotArea type="data" outline="0" fieldPosition="0">
        <references count="2">
          <reference field="4294967294" count="1" selected="0">
            <x v="0"/>
          </reference>
          <reference field="4" count="1" selected="0">
            <x v="2"/>
          </reference>
        </references>
      </pivotArea>
    </chartFormat>
    <chartFormat chart="2" format="14">
      <pivotArea type="data" outline="0" fieldPosition="0">
        <references count="2">
          <reference field="4294967294" count="1" selected="0">
            <x v="0"/>
          </reference>
          <reference field="4" count="1" selected="0">
            <x v="3"/>
          </reference>
        </references>
      </pivotArea>
    </chartFormat>
    <chartFormat chart="2" format="15">
      <pivotArea type="data" outline="0" fieldPosition="0">
        <references count="2">
          <reference field="4294967294" count="1" selected="0">
            <x v="0"/>
          </reference>
          <reference field="4" count="1" selected="0">
            <x v="4"/>
          </reference>
        </references>
      </pivotArea>
    </chartFormat>
    <chartFormat chart="2" format="16">
      <pivotArea type="data" outline="0" fieldPosition="0">
        <references count="2">
          <reference field="4294967294" count="1" selected="0">
            <x v="0"/>
          </reference>
          <reference field="4" count="1" selected="0">
            <x v="5"/>
          </reference>
        </references>
      </pivotArea>
    </chartFormat>
    <chartFormat chart="2" format="17">
      <pivotArea type="data" outline="0" fieldPosition="0">
        <references count="2">
          <reference field="4294967294" count="1" selected="0">
            <x v="0"/>
          </reference>
          <reference field="4"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5119784-E33E-43FA-A839-86E24F5DF18E}" name="PivotTable13"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3">
    <pivotField showAll="0"/>
    <pivotField showAll="0"/>
    <pivotField showAll="0"/>
    <pivotField numFmtId="14" showAll="0">
      <items count="16">
        <item x="0"/>
        <item x="3"/>
        <item x="4"/>
        <item x="1"/>
        <item x="2"/>
        <item x="5"/>
        <item x="6"/>
        <item x="9"/>
        <item x="7"/>
        <item x="10"/>
        <item x="11"/>
        <item x="12"/>
        <item x="13"/>
        <item x="8"/>
        <item x="14"/>
        <item t="default"/>
      </items>
    </pivotField>
    <pivotField showAll="0"/>
    <pivotField dataField="1" numFmtId="3" showAll="0"/>
    <pivotField numFmtId="14" showAll="0"/>
    <pivotField numFmtId="3" showAll="0"/>
    <pivotField showAll="0">
      <items count="9">
        <item x="6"/>
        <item x="4"/>
        <item x="5"/>
        <item x="7"/>
        <item x="3"/>
        <item x="2"/>
        <item x="1"/>
        <item x="0"/>
        <item t="default"/>
      </items>
    </pivotField>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NILAI" fld="5" baseField="0" baseItem="0" numFmtId="168"/>
  </dataFields>
  <formats count="1">
    <format dxfId="7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88A6BD0-A74A-4C52-A2D4-CA7960ECCCDD}" name="PivotTable1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3:B15" firstHeaderRow="1" firstDataRow="1" firstDataCol="1"/>
  <pivotFields count="6">
    <pivotField numFmtId="169" showAll="0">
      <items count="11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t="default"/>
      </items>
    </pivotField>
    <pivotField showAll="0"/>
    <pivotField axis="axisRow" showAll="0">
      <items count="3">
        <item h="1" x="0"/>
        <item x="1"/>
        <item t="default"/>
      </items>
    </pivotField>
    <pivotField dataField="1" numFmtId="3"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2">
    <i>
      <x v="1"/>
    </i>
    <i t="grand">
      <x/>
    </i>
  </rowItems>
  <colItems count="1">
    <i/>
  </colItems>
  <dataFields count="1">
    <dataField name="Sum of CATATAN KAS" fld="3" baseField="0" baseItem="0" numFmtId="3"/>
  </dataFields>
  <formats count="2">
    <format dxfId="81">
      <pivotArea grandRow="1" outline="0" collapsedLevelsAreSubtotals="1" fieldPosition="0"/>
    </format>
    <format dxfId="80">
      <pivotArea collapsedLevelsAreSubtotals="1" fieldPosition="0">
        <references count="1">
          <reference field="2"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C487237-FE43-43F7-91AF-9FE53E4D0EF3}"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H14:J24" firstHeaderRow="1" firstDataRow="2" firstDataCol="1"/>
  <pivotFields count="6">
    <pivotField numFmtId="169" showAll="0">
      <items count="11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t="default"/>
      </items>
    </pivotField>
    <pivotField showAll="0"/>
    <pivotField axis="axisCol" showAll="0">
      <items count="3">
        <item h="1" x="0"/>
        <item x="1"/>
        <item t="default"/>
      </items>
    </pivotField>
    <pivotField dataField="1" numFmtId="3"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5"/>
  </rowFields>
  <rowItems count="9">
    <i>
      <x v="1"/>
    </i>
    <i>
      <x v="2"/>
    </i>
    <i>
      <x v="3"/>
    </i>
    <i>
      <x v="4"/>
    </i>
    <i>
      <x v="5"/>
    </i>
    <i>
      <x v="7"/>
    </i>
    <i>
      <x v="8"/>
    </i>
    <i>
      <x v="9"/>
    </i>
    <i t="grand">
      <x/>
    </i>
  </rowItems>
  <colFields count="1">
    <field x="2"/>
  </colFields>
  <colItems count="2">
    <i>
      <x v="1"/>
    </i>
    <i t="grand">
      <x/>
    </i>
  </colItems>
  <dataFields count="1">
    <dataField name="Sum of CATATAN KAS" fld="3" baseField="0" baseItem="0" numFmtId="3"/>
  </dataFields>
  <formats count="1">
    <format dxfId="82">
      <pivotArea grandRow="1" outline="0" collapsedLevelsAreSubtotals="1" fieldPosition="0"/>
    </format>
  </formats>
  <chartFormats count="9">
    <chartFormat chart="2" format="2" series="1">
      <pivotArea type="data" outline="0" fieldPosition="0">
        <references count="2">
          <reference field="4294967294" count="1" selected="0">
            <x v="0"/>
          </reference>
          <reference field="2" count="1" selected="0">
            <x v="1"/>
          </reference>
        </references>
      </pivotArea>
    </chartFormat>
    <chartFormat chart="2" format="3">
      <pivotArea type="data" outline="0" fieldPosition="0">
        <references count="3">
          <reference field="4294967294" count="1" selected="0">
            <x v="0"/>
          </reference>
          <reference field="2" count="1" selected="0">
            <x v="1"/>
          </reference>
          <reference field="5" count="1" selected="0">
            <x v="7"/>
          </reference>
        </references>
      </pivotArea>
    </chartFormat>
    <chartFormat chart="11" format="4" series="1">
      <pivotArea type="data" outline="0" fieldPosition="0">
        <references count="2">
          <reference field="4294967294" count="1" selected="0">
            <x v="0"/>
          </reference>
          <reference field="2" count="1" selected="0">
            <x v="1"/>
          </reference>
        </references>
      </pivotArea>
    </chartFormat>
    <chartFormat chart="11" format="5">
      <pivotArea type="data" outline="0" fieldPosition="0">
        <references count="3">
          <reference field="4294967294" count="1" selected="0">
            <x v="0"/>
          </reference>
          <reference field="2" count="1" selected="0">
            <x v="1"/>
          </reference>
          <reference field="5" count="1" selected="0">
            <x v="7"/>
          </reference>
        </references>
      </pivotArea>
    </chartFormat>
    <chartFormat chart="12" format="6" series="1">
      <pivotArea type="data" outline="0" fieldPosition="0">
        <references count="2">
          <reference field="4294967294" count="1" selected="0">
            <x v="0"/>
          </reference>
          <reference field="2" count="1" selected="0">
            <x v="1"/>
          </reference>
        </references>
      </pivotArea>
    </chartFormat>
    <chartFormat chart="12" format="7">
      <pivotArea type="data" outline="0" fieldPosition="0">
        <references count="3">
          <reference field="4294967294" count="1" selected="0">
            <x v="0"/>
          </reference>
          <reference field="2" count="1" selected="0">
            <x v="1"/>
          </reference>
          <reference field="5" count="1" selected="0">
            <x v="7"/>
          </reference>
        </references>
      </pivotArea>
    </chartFormat>
    <chartFormat chart="2" format="4">
      <pivotArea type="data" outline="0" fieldPosition="0">
        <references count="3">
          <reference field="4294967294" count="1" selected="0">
            <x v="0"/>
          </reference>
          <reference field="2" count="1" selected="0">
            <x v="1"/>
          </reference>
          <reference field="5" count="1" selected="0">
            <x v="8"/>
          </reference>
        </references>
      </pivotArea>
    </chartFormat>
    <chartFormat chart="2" format="5">
      <pivotArea type="data" outline="0" fieldPosition="0">
        <references count="3">
          <reference field="4294967294" count="1" selected="0">
            <x v="0"/>
          </reference>
          <reference field="2" count="1" selected="0">
            <x v="1"/>
          </reference>
          <reference field="5" count="1" selected="0">
            <x v="9"/>
          </reference>
        </references>
      </pivotArea>
    </chartFormat>
    <chartFormat chart="2" format="6">
      <pivotArea type="data" outline="0" fieldPosition="0">
        <references count="3">
          <reference field="4294967294" count="1" selected="0">
            <x v="0"/>
          </reference>
          <reference field="2" count="1" selected="0">
            <x v="1"/>
          </reference>
          <reference field="5"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63C3D65-9399-41A4-96A2-67A6CC188018}" name="PivotTable1"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location ref="H3:I11" firstHeaderRow="1" firstDataRow="1" firstDataCol="1"/>
  <pivotFields count="13">
    <pivotField showAll="0"/>
    <pivotField showAll="0"/>
    <pivotField axis="axisRow" showAll="0" sortType="ascending">
      <items count="29">
        <item x="3"/>
        <item h="1" x="2"/>
        <item h="1" x="22"/>
        <item h="1" x="0"/>
        <item x="1"/>
        <item h="1" x="7"/>
        <item h="1" x="24"/>
        <item x="17"/>
        <item h="1" x="19"/>
        <item x="18"/>
        <item x="20"/>
        <item h="1" x="25"/>
        <item h="1" x="23"/>
        <item h="1" x="8"/>
        <item h="1" x="9"/>
        <item h="1" x="15"/>
        <item h="1" x="13"/>
        <item h="1" x="5"/>
        <item h="1" x="4"/>
        <item h="1" x="14"/>
        <item h="1" x="6"/>
        <item h="1" x="12"/>
        <item h="1" x="10"/>
        <item h="1" x="11"/>
        <item h="1" x="26"/>
        <item h="1" x="27"/>
        <item x="21"/>
        <item x="16"/>
        <item t="default"/>
      </items>
      <autoSortScope>
        <pivotArea dataOnly="0" outline="0" fieldPosition="0">
          <references count="1">
            <reference field="4294967294" count="1" selected="0">
              <x v="0"/>
            </reference>
          </references>
        </pivotArea>
      </autoSortScope>
    </pivotField>
    <pivotField numFmtId="14" showAll="0">
      <items count="16">
        <item x="0"/>
        <item x="3"/>
        <item x="4"/>
        <item x="1"/>
        <item x="2"/>
        <item x="5"/>
        <item x="6"/>
        <item x="9"/>
        <item x="7"/>
        <item x="10"/>
        <item x="11"/>
        <item x="12"/>
        <item x="13"/>
        <item x="8"/>
        <item x="14"/>
        <item t="default"/>
      </items>
    </pivotField>
    <pivotField showAll="0"/>
    <pivotField dataField="1" numFmtId="3" showAll="0"/>
    <pivotField numFmtId="14" showAll="0"/>
    <pivotField numFmtId="3" showAll="0"/>
    <pivotField showAll="0">
      <items count="9">
        <item x="6"/>
        <item x="4"/>
        <item x="5"/>
        <item x="7"/>
        <item x="3"/>
        <item x="2"/>
        <item x="1"/>
        <item x="0"/>
        <item t="default"/>
      </items>
    </pivotField>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8">
    <i>
      <x v="26"/>
    </i>
    <i>
      <x/>
    </i>
    <i>
      <x v="27"/>
    </i>
    <i>
      <x v="4"/>
    </i>
    <i>
      <x v="7"/>
    </i>
    <i>
      <x v="10"/>
    </i>
    <i>
      <x v="9"/>
    </i>
    <i t="grand">
      <x/>
    </i>
  </rowItems>
  <colItems count="1">
    <i/>
  </colItems>
  <dataFields count="1">
    <dataField name="Sum of NILAI" fld="5" baseField="0" baseItem="0" numFmtId="3"/>
  </dataFields>
  <formats count="1">
    <format dxfId="83">
      <pivotArea outline="0" collapsedLevelsAreSubtotals="1" fieldPosition="0"/>
    </format>
  </formats>
  <chartFormats count="5">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 chart="15" format="4" series="1">
      <pivotArea type="data" outline="0" fieldPosition="0">
        <references count="1">
          <reference field="4294967294" count="1" selected="0">
            <x v="0"/>
          </reference>
        </references>
      </pivotArea>
    </chartFormat>
    <chartFormat chart="16"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339B334-2D54-4A2B-AB42-1792AC4A57EB}" name="PivotTable20"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D3:E10" firstHeaderRow="1" firstDataRow="1" firstDataCol="1"/>
  <pivotFields count="13">
    <pivotField showAll="0"/>
    <pivotField showAll="0"/>
    <pivotField showAll="0"/>
    <pivotField numFmtId="14" showAll="0">
      <items count="16">
        <item x="0"/>
        <item x="3"/>
        <item x="4"/>
        <item x="1"/>
        <item x="2"/>
        <item x="5"/>
        <item x="6"/>
        <item x="9"/>
        <item x="7"/>
        <item x="10"/>
        <item x="11"/>
        <item x="12"/>
        <item x="13"/>
        <item x="8"/>
        <item x="14"/>
        <item t="default"/>
      </items>
    </pivotField>
    <pivotField showAll="0"/>
    <pivotField dataField="1" numFmtId="3" showAll="0"/>
    <pivotField numFmtId="14" showAll="0"/>
    <pivotField numFmtId="3" showAll="0"/>
    <pivotField showAll="0">
      <items count="9">
        <item x="6"/>
        <item x="4"/>
        <item x="5"/>
        <item x="7"/>
        <item x="3"/>
        <item x="2"/>
        <item x="1"/>
        <item x="0"/>
        <item t="default"/>
      </items>
    </pivotField>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2"/>
  </rowFields>
  <rowItems count="7">
    <i>
      <x v="1"/>
    </i>
    <i>
      <x v="2"/>
    </i>
    <i>
      <x v="3"/>
    </i>
    <i>
      <x v="4"/>
    </i>
    <i>
      <x v="5"/>
    </i>
    <i>
      <x v="7"/>
    </i>
    <i t="grand">
      <x/>
    </i>
  </rowItems>
  <colItems count="1">
    <i/>
  </colItems>
  <dataFields count="1">
    <dataField name="Sum of NILAI" fld="5" baseField="0" baseItem="0" numFmtId="3"/>
  </dataFields>
  <formats count="1">
    <format dxfId="84">
      <pivotArea outline="0" collapsedLevelsAreSubtotals="1" fieldPosition="0"/>
    </format>
  </formats>
  <chartFormats count="4">
    <chartFormat chart="2" format="2" series="1">
      <pivotArea type="data" outline="0" fieldPosition="0">
        <references count="1">
          <reference field="4294967294" count="1" selected="0">
            <x v="0"/>
          </reference>
        </references>
      </pivotArea>
    </chartFormat>
    <chartFormat chart="9" format="3"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2"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736A431-5676-4540-A0B9-3778EE842B60}" name="PivotTable14"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A7" firstHeaderRow="1" firstDataRow="1" firstDataCol="0"/>
  <pivotFields count="13">
    <pivotField showAll="0"/>
    <pivotField showAll="0"/>
    <pivotField showAll="0"/>
    <pivotField numFmtId="14" showAll="0">
      <items count="16">
        <item x="0"/>
        <item x="3"/>
        <item x="4"/>
        <item x="1"/>
        <item x="2"/>
        <item x="5"/>
        <item x="6"/>
        <item x="9"/>
        <item x="7"/>
        <item x="10"/>
        <item x="11"/>
        <item x="12"/>
        <item x="13"/>
        <item x="8"/>
        <item x="14"/>
        <item t="default"/>
      </items>
    </pivotField>
    <pivotField showAll="0"/>
    <pivotField numFmtId="3" showAll="0"/>
    <pivotField numFmtId="14" showAll="0"/>
    <pivotField numFmtId="3" showAll="0"/>
    <pivotField dataField="1" showAll="0">
      <items count="9">
        <item x="6"/>
        <item x="4"/>
        <item x="5"/>
        <item x="7"/>
        <item x="3"/>
        <item x="2"/>
        <item x="1"/>
        <item x="0"/>
        <item t="default"/>
      </items>
    </pivotField>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Count of NAMA PEKERJAAN" fld="8" subtotal="count" baseField="0" baseItem="0"/>
  </dataFields>
  <formats count="1">
    <format dxfId="8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CCA101E-91B5-464E-ACC8-35B65D6F1423}"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F27:BF28" firstHeaderRow="1" firstDataRow="1" firstDataCol="0"/>
  <pivotFields count="12">
    <pivotField showAll="0"/>
    <pivotField showAll="0"/>
    <pivotField showAll="0">
      <items count="17">
        <item x="6"/>
        <item x="5"/>
        <item x="3"/>
        <item x="7"/>
        <item x="4"/>
        <item x="2"/>
        <item x="1"/>
        <item x="0"/>
        <item m="1" x="14"/>
        <item m="1" x="13"/>
        <item m="1" x="11"/>
        <item m="1" x="15"/>
        <item m="1" x="12"/>
        <item m="1" x="10"/>
        <item m="1" x="9"/>
        <item m="1" x="8"/>
        <item t="default"/>
      </items>
    </pivotField>
    <pivotField showAll="0"/>
    <pivotField numFmtId="14" showAll="0">
      <items count="9">
        <item x="0"/>
        <item x="1"/>
        <item x="2"/>
        <item x="3"/>
        <item x="4"/>
        <item x="5"/>
        <item x="6"/>
        <item x="7"/>
        <item t="default"/>
      </items>
    </pivotField>
    <pivotField dataField="1" numFmtId="3" showAll="0"/>
    <pivotField numFmtId="3" showAll="0"/>
    <pivotField numFmtId="3" showAll="0"/>
    <pivotField numFmtId="10" showAll="0"/>
    <pivotField numFmtId="3"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NILAI BOQ" fld="5" baseField="0" baseItem="0" numFmtId="168"/>
  </dataFields>
  <formats count="1">
    <format dxfId="55">
      <pivotArea outline="0" collapsedLevelsAreSubtotals="1" fieldPosition="0"/>
    </format>
  </formats>
  <pivotTableStyleInfo name="PivotStyleMedium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4522AA3-AB4D-48F1-8666-0D07EBF1079D}" name="PivotTable6"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F2:BG11" firstHeaderRow="1" firstDataRow="1" firstDataCol="1"/>
  <pivotFields count="12">
    <pivotField showAll="0"/>
    <pivotField showAll="0"/>
    <pivotField axis="axisRow" showAll="0">
      <items count="17">
        <item m="1" x="14"/>
        <item m="1" x="13"/>
        <item m="1" x="11"/>
        <item m="1" x="15"/>
        <item m="1" x="12"/>
        <item m="1" x="10"/>
        <item m="1" x="9"/>
        <item m="1" x="8"/>
        <item x="0"/>
        <item x="1"/>
        <item x="2"/>
        <item x="3"/>
        <item x="4"/>
        <item x="5"/>
        <item x="6"/>
        <item x="7"/>
        <item t="default"/>
      </items>
    </pivotField>
    <pivotField showAll="0"/>
    <pivotField numFmtId="14" showAll="0">
      <items count="9">
        <item x="0"/>
        <item x="1"/>
        <item x="2"/>
        <item x="3"/>
        <item x="4"/>
        <item x="5"/>
        <item x="6"/>
        <item x="7"/>
        <item t="default"/>
      </items>
    </pivotField>
    <pivotField dataField="1" numFmtId="3" showAll="0"/>
    <pivotField numFmtId="3" showAll="0"/>
    <pivotField numFmtId="3" showAll="0"/>
    <pivotField numFmtId="10" showAll="0"/>
    <pivotField numFmtId="3"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9">
    <i>
      <x v="8"/>
    </i>
    <i>
      <x v="9"/>
    </i>
    <i>
      <x v="10"/>
    </i>
    <i>
      <x v="11"/>
    </i>
    <i>
      <x v="12"/>
    </i>
    <i>
      <x v="13"/>
    </i>
    <i>
      <x v="14"/>
    </i>
    <i>
      <x v="15"/>
    </i>
    <i t="grand">
      <x/>
    </i>
  </rowItems>
  <colItems count="1">
    <i/>
  </colItems>
  <dataFields count="1">
    <dataField name="Sum of NILAI BOQ" fld="5" baseField="0" baseItem="0" numFmtId="3"/>
  </dataFields>
  <pivotTableStyleInfo name="PivotStyleMedium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9EAEEE77-D605-4A41-B799-280A02DE20B6}" name="PivotTable7"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BF16:BG25" firstHeaderRow="1" firstDataRow="1" firstDataCol="1"/>
  <pivotFields count="12">
    <pivotField showAll="0"/>
    <pivotField showAll="0"/>
    <pivotField axis="axisRow" showAll="0">
      <items count="17">
        <item m="1" x="14"/>
        <item m="1" x="13"/>
        <item m="1" x="11"/>
        <item m="1" x="15"/>
        <item m="1" x="12"/>
        <item m="1" x="10"/>
        <item m="1" x="9"/>
        <item m="1" x="8"/>
        <item x="0"/>
        <item x="1"/>
        <item x="2"/>
        <item x="3"/>
        <item x="4"/>
        <item x="5"/>
        <item x="6"/>
        <item x="7"/>
        <item t="default"/>
      </items>
    </pivotField>
    <pivotField showAll="0"/>
    <pivotField numFmtId="14" showAll="0">
      <items count="9">
        <item x="0"/>
        <item x="1"/>
        <item x="2"/>
        <item x="3"/>
        <item x="4"/>
        <item x="5"/>
        <item x="6"/>
        <item x="7"/>
        <item t="default"/>
      </items>
    </pivotField>
    <pivotField dataField="1" numFmtId="3" showAll="0"/>
    <pivotField numFmtId="3" showAll="0"/>
    <pivotField numFmtId="3" showAll="0"/>
    <pivotField numFmtId="10" showAll="0"/>
    <pivotField numFmtId="3"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9">
    <i>
      <x v="8"/>
    </i>
    <i>
      <x v="9"/>
    </i>
    <i>
      <x v="10"/>
    </i>
    <i>
      <x v="11"/>
    </i>
    <i>
      <x v="12"/>
    </i>
    <i>
      <x v="13"/>
    </i>
    <i>
      <x v="14"/>
    </i>
    <i>
      <x v="15"/>
    </i>
    <i t="grand">
      <x/>
    </i>
  </rowItems>
  <colItems count="1">
    <i/>
  </colItems>
  <dataFields count="1">
    <dataField name="Sum of NILAI BOQ" fld="5" showDataAs="percentOfTotal" baseField="0" baseItem="0" numFmtId="10"/>
  </dataFields>
  <chartFormats count="27">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6" format="3">
      <pivotArea type="data" outline="0" fieldPosition="0">
        <references count="2">
          <reference field="4294967294" count="1" selected="0">
            <x v="0"/>
          </reference>
          <reference field="2" count="1" selected="0">
            <x v="8"/>
          </reference>
        </references>
      </pivotArea>
    </chartFormat>
    <chartFormat chart="6" format="4">
      <pivotArea type="data" outline="0" fieldPosition="0">
        <references count="2">
          <reference field="4294967294" count="1" selected="0">
            <x v="0"/>
          </reference>
          <reference field="2" count="1" selected="0">
            <x v="9"/>
          </reference>
        </references>
      </pivotArea>
    </chartFormat>
    <chartFormat chart="6" format="5">
      <pivotArea type="data" outline="0" fieldPosition="0">
        <references count="2">
          <reference field="4294967294" count="1" selected="0">
            <x v="0"/>
          </reference>
          <reference field="2" count="1" selected="0">
            <x v="10"/>
          </reference>
        </references>
      </pivotArea>
    </chartFormat>
    <chartFormat chart="6" format="6">
      <pivotArea type="data" outline="0" fieldPosition="0">
        <references count="2">
          <reference field="4294967294" count="1" selected="0">
            <x v="0"/>
          </reference>
          <reference field="2" count="1" selected="0">
            <x v="11"/>
          </reference>
        </references>
      </pivotArea>
    </chartFormat>
    <chartFormat chart="6" format="7">
      <pivotArea type="data" outline="0" fieldPosition="0">
        <references count="2">
          <reference field="4294967294" count="1" selected="0">
            <x v="0"/>
          </reference>
          <reference field="2" count="1" selected="0">
            <x v="12"/>
          </reference>
        </references>
      </pivotArea>
    </chartFormat>
    <chartFormat chart="6" format="8">
      <pivotArea type="data" outline="0" fieldPosition="0">
        <references count="2">
          <reference field="4294967294" count="1" selected="0">
            <x v="0"/>
          </reference>
          <reference field="2" count="1" selected="0">
            <x v="13"/>
          </reference>
        </references>
      </pivotArea>
    </chartFormat>
    <chartFormat chart="6" format="9">
      <pivotArea type="data" outline="0" fieldPosition="0">
        <references count="2">
          <reference field="4294967294" count="1" selected="0">
            <x v="0"/>
          </reference>
          <reference field="2" count="1" selected="0">
            <x v="14"/>
          </reference>
        </references>
      </pivotArea>
    </chartFormat>
    <chartFormat chart="6" format="10">
      <pivotArea type="data" outline="0" fieldPosition="0">
        <references count="2">
          <reference field="4294967294" count="1" selected="0">
            <x v="0"/>
          </reference>
          <reference field="2" count="1" selected="0">
            <x v="15"/>
          </reference>
        </references>
      </pivotArea>
    </chartFormat>
    <chartFormat chart="7" format="11" series="1">
      <pivotArea type="data" outline="0" fieldPosition="0">
        <references count="1">
          <reference field="4294967294" count="1" selected="0">
            <x v="0"/>
          </reference>
        </references>
      </pivotArea>
    </chartFormat>
    <chartFormat chart="7" format="12">
      <pivotArea type="data" outline="0" fieldPosition="0">
        <references count="2">
          <reference field="4294967294" count="1" selected="0">
            <x v="0"/>
          </reference>
          <reference field="2" count="1" selected="0">
            <x v="8"/>
          </reference>
        </references>
      </pivotArea>
    </chartFormat>
    <chartFormat chart="7" format="13">
      <pivotArea type="data" outline="0" fieldPosition="0">
        <references count="2">
          <reference field="4294967294" count="1" selected="0">
            <x v="0"/>
          </reference>
          <reference field="2" count="1" selected="0">
            <x v="9"/>
          </reference>
        </references>
      </pivotArea>
    </chartFormat>
    <chartFormat chart="7" format="14">
      <pivotArea type="data" outline="0" fieldPosition="0">
        <references count="2">
          <reference field="4294967294" count="1" selected="0">
            <x v="0"/>
          </reference>
          <reference field="2" count="1" selected="0">
            <x v="10"/>
          </reference>
        </references>
      </pivotArea>
    </chartFormat>
    <chartFormat chart="7" format="15">
      <pivotArea type="data" outline="0" fieldPosition="0">
        <references count="2">
          <reference field="4294967294" count="1" selected="0">
            <x v="0"/>
          </reference>
          <reference field="2" count="1" selected="0">
            <x v="11"/>
          </reference>
        </references>
      </pivotArea>
    </chartFormat>
    <chartFormat chart="7" format="16">
      <pivotArea type="data" outline="0" fieldPosition="0">
        <references count="2">
          <reference field="4294967294" count="1" selected="0">
            <x v="0"/>
          </reference>
          <reference field="2" count="1" selected="0">
            <x v="12"/>
          </reference>
        </references>
      </pivotArea>
    </chartFormat>
    <chartFormat chart="7" format="17">
      <pivotArea type="data" outline="0" fieldPosition="0">
        <references count="2">
          <reference field="4294967294" count="1" selected="0">
            <x v="0"/>
          </reference>
          <reference field="2" count="1" selected="0">
            <x v="13"/>
          </reference>
        </references>
      </pivotArea>
    </chartFormat>
    <chartFormat chart="7" format="18">
      <pivotArea type="data" outline="0" fieldPosition="0">
        <references count="2">
          <reference field="4294967294" count="1" selected="0">
            <x v="0"/>
          </reference>
          <reference field="2" count="1" selected="0">
            <x v="14"/>
          </reference>
        </references>
      </pivotArea>
    </chartFormat>
    <chartFormat chart="7" format="19">
      <pivotArea type="data" outline="0" fieldPosition="0">
        <references count="2">
          <reference field="4294967294" count="1" selected="0">
            <x v="0"/>
          </reference>
          <reference field="2" count="1" selected="0">
            <x v="15"/>
          </reference>
        </references>
      </pivotArea>
    </chartFormat>
    <chartFormat chart="0" format="2">
      <pivotArea type="data" outline="0" fieldPosition="0">
        <references count="2">
          <reference field="4294967294" count="1" selected="0">
            <x v="0"/>
          </reference>
          <reference field="2" count="1" selected="0">
            <x v="8"/>
          </reference>
        </references>
      </pivotArea>
    </chartFormat>
    <chartFormat chart="0" format="3">
      <pivotArea type="data" outline="0" fieldPosition="0">
        <references count="2">
          <reference field="4294967294" count="1" selected="0">
            <x v="0"/>
          </reference>
          <reference field="2" count="1" selected="0">
            <x v="9"/>
          </reference>
        </references>
      </pivotArea>
    </chartFormat>
    <chartFormat chart="0" format="4">
      <pivotArea type="data" outline="0" fieldPosition="0">
        <references count="2">
          <reference field="4294967294" count="1" selected="0">
            <x v="0"/>
          </reference>
          <reference field="2" count="1" selected="0">
            <x v="10"/>
          </reference>
        </references>
      </pivotArea>
    </chartFormat>
    <chartFormat chart="0" format="5">
      <pivotArea type="data" outline="0" fieldPosition="0">
        <references count="2">
          <reference field="4294967294" count="1" selected="0">
            <x v="0"/>
          </reference>
          <reference field="2" count="1" selected="0">
            <x v="11"/>
          </reference>
        </references>
      </pivotArea>
    </chartFormat>
    <chartFormat chart="0" format="6">
      <pivotArea type="data" outline="0" fieldPosition="0">
        <references count="2">
          <reference field="4294967294" count="1" selected="0">
            <x v="0"/>
          </reference>
          <reference field="2" count="1" selected="0">
            <x v="12"/>
          </reference>
        </references>
      </pivotArea>
    </chartFormat>
    <chartFormat chart="0" format="7">
      <pivotArea type="data" outline="0" fieldPosition="0">
        <references count="2">
          <reference field="4294967294" count="1" selected="0">
            <x v="0"/>
          </reference>
          <reference field="2" count="1" selected="0">
            <x v="13"/>
          </reference>
        </references>
      </pivotArea>
    </chartFormat>
    <chartFormat chart="0" format="8">
      <pivotArea type="data" outline="0" fieldPosition="0">
        <references count="2">
          <reference field="4294967294" count="1" selected="0">
            <x v="0"/>
          </reference>
          <reference field="2" count="1" selected="0">
            <x v="14"/>
          </reference>
        </references>
      </pivotArea>
    </chartFormat>
    <chartFormat chart="0" format="9">
      <pivotArea type="data" outline="0" fieldPosition="0">
        <references count="2">
          <reference field="4294967294" count="1" selected="0">
            <x v="0"/>
          </reference>
          <reference field="2" count="1" selected="0">
            <x v="15"/>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97950DE-7887-417F-A1F0-20447E22615C}" name="PivotTable5"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BJ35:BJ36" firstHeaderRow="1" firstDataRow="1" firstDataCol="0"/>
  <pivotFields count="12">
    <pivotField showAll="0"/>
    <pivotField showAll="0"/>
    <pivotField showAll="0">
      <items count="17">
        <item x="6"/>
        <item x="5"/>
        <item x="3"/>
        <item x="7"/>
        <item x="4"/>
        <item x="2"/>
        <item x="1"/>
        <item x="0"/>
        <item m="1" x="14"/>
        <item m="1" x="13"/>
        <item m="1" x="11"/>
        <item m="1" x="15"/>
        <item m="1" x="12"/>
        <item m="1" x="10"/>
        <item m="1" x="9"/>
        <item m="1" x="8"/>
        <item t="default"/>
      </items>
    </pivotField>
    <pivotField showAll="0"/>
    <pivotField numFmtId="14" showAll="0">
      <items count="9">
        <item x="0"/>
        <item x="1"/>
        <item x="2"/>
        <item x="3"/>
        <item x="4"/>
        <item x="5"/>
        <item x="6"/>
        <item x="7"/>
        <item t="default"/>
      </items>
    </pivotField>
    <pivotField numFmtId="3" showAll="0"/>
    <pivotField numFmtId="3" showAll="0"/>
    <pivotField dataField="1" numFmtId="3" showAll="0"/>
    <pivotField numFmtId="10" showAll="0"/>
    <pivotField numFmtId="3"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REALISASI ANGGARAN" fld="7" baseField="0" baseItem="0" numFmtId="168"/>
  </dataFields>
  <formats count="1">
    <format dxfId="56">
      <pivotArea outline="0" collapsedLevelsAreSubtotals="1" fieldPosition="0"/>
    </format>
  </formats>
  <pivotTableStyleInfo name="PivotStyleMedium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D5576DC9-FBA9-4563-AB5C-DCBF36E028EE}" name="PivotTable8"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BJ2:BL7" firstHeaderRow="0" firstDataRow="1" firstDataCol="1"/>
  <pivotFields count="12">
    <pivotField showAll="0"/>
    <pivotField axis="axisRow" showAll="0">
      <items count="5">
        <item x="3"/>
        <item x="2"/>
        <item x="1"/>
        <item x="0"/>
        <item t="default"/>
      </items>
    </pivotField>
    <pivotField showAll="0">
      <items count="17">
        <item x="6"/>
        <item x="5"/>
        <item x="3"/>
        <item x="7"/>
        <item x="4"/>
        <item x="2"/>
        <item x="1"/>
        <item x="0"/>
        <item m="1" x="14"/>
        <item m="1" x="13"/>
        <item m="1" x="11"/>
        <item m="1" x="15"/>
        <item m="1" x="12"/>
        <item m="1" x="10"/>
        <item m="1" x="9"/>
        <item m="1" x="8"/>
        <item t="default"/>
      </items>
    </pivotField>
    <pivotField showAll="0"/>
    <pivotField numFmtId="14" showAll="0">
      <items count="9">
        <item x="0"/>
        <item x="1"/>
        <item x="2"/>
        <item x="3"/>
        <item x="4"/>
        <item x="5"/>
        <item x="6"/>
        <item x="7"/>
        <item t="default"/>
      </items>
    </pivotField>
    <pivotField numFmtId="3" showAll="0"/>
    <pivotField dataField="1" numFmtId="3" showAll="0"/>
    <pivotField dataField="1" numFmtId="3" showAll="0"/>
    <pivotField numFmtId="10" showAll="0"/>
    <pivotField numFmtId="3"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5">
    <i>
      <x/>
    </i>
    <i>
      <x v="1"/>
    </i>
    <i>
      <x v="2"/>
    </i>
    <i>
      <x v="3"/>
    </i>
    <i t="grand">
      <x/>
    </i>
  </rowItems>
  <colFields count="1">
    <field x="-2"/>
  </colFields>
  <colItems count="2">
    <i>
      <x/>
    </i>
    <i i="1">
      <x v="1"/>
    </i>
  </colItems>
  <dataFields count="2">
    <dataField name="Sum of REALISASI ANGGARAN" fld="7" baseField="0" baseItem="0" numFmtId="3"/>
    <dataField name="Sum of BUDGET " fld="6" baseField="0" baseItem="0" numFmtId="3"/>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Medium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4B84DDA8-6380-40D2-8AA4-FB22FE6847C0}" name="PivotTable12"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BJ16:BK25" firstHeaderRow="1" firstDataRow="1" firstDataCol="1"/>
  <pivotFields count="12">
    <pivotField showAll="0"/>
    <pivotField showAll="0"/>
    <pivotField axis="axisRow" showAll="0">
      <items count="17">
        <item m="1" x="14"/>
        <item m="1" x="13"/>
        <item m="1" x="11"/>
        <item m="1" x="15"/>
        <item m="1" x="12"/>
        <item m="1" x="10"/>
        <item m="1" x="9"/>
        <item m="1" x="8"/>
        <item x="0"/>
        <item x="1"/>
        <item x="2"/>
        <item x="3"/>
        <item x="4"/>
        <item x="5"/>
        <item x="6"/>
        <item x="7"/>
        <item t="default"/>
      </items>
    </pivotField>
    <pivotField showAll="0"/>
    <pivotField numFmtId="14" showAll="0">
      <items count="9">
        <item x="0"/>
        <item x="1"/>
        <item x="2"/>
        <item x="3"/>
        <item x="4"/>
        <item x="5"/>
        <item x="6"/>
        <item x="7"/>
        <item t="default"/>
      </items>
    </pivotField>
    <pivotField numFmtId="3" showAll="0"/>
    <pivotField numFmtId="3" showAll="0"/>
    <pivotField numFmtId="3" showAll="0"/>
    <pivotField numFmtId="10" showAll="0"/>
    <pivotField dataField="1" numFmtId="3"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9">
    <i>
      <x v="8"/>
    </i>
    <i>
      <x v="9"/>
    </i>
    <i>
      <x v="10"/>
    </i>
    <i>
      <x v="11"/>
    </i>
    <i>
      <x v="12"/>
    </i>
    <i>
      <x v="13"/>
    </i>
    <i>
      <x v="14"/>
    </i>
    <i>
      <x v="15"/>
    </i>
    <i t="grand">
      <x/>
    </i>
  </rowItems>
  <colItems count="1">
    <i/>
  </colItems>
  <dataFields count="1">
    <dataField name="Sum of SISA BUDGET" fld="9" baseField="0" baseItem="0" numFmtId="3"/>
  </dataFields>
  <pivotTableStyleInfo name="PivotStyleMedium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212D6604-F21D-4AA9-B9EE-DAF7B7983A6F}" name="PivotTable3"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BJ28:BJ29" firstHeaderRow="1" firstDataRow="1" firstDataCol="0"/>
  <pivotFields count="12">
    <pivotField showAll="0"/>
    <pivotField showAll="0"/>
    <pivotField showAll="0">
      <items count="17">
        <item x="6"/>
        <item x="5"/>
        <item x="3"/>
        <item x="7"/>
        <item x="4"/>
        <item x="2"/>
        <item x="1"/>
        <item x="0"/>
        <item m="1" x="14"/>
        <item m="1" x="13"/>
        <item m="1" x="11"/>
        <item m="1" x="15"/>
        <item m="1" x="12"/>
        <item m="1" x="10"/>
        <item m="1" x="9"/>
        <item m="1" x="8"/>
        <item t="default"/>
      </items>
    </pivotField>
    <pivotField showAll="0"/>
    <pivotField numFmtId="14" showAll="0">
      <items count="9">
        <item x="0"/>
        <item x="1"/>
        <item x="2"/>
        <item x="3"/>
        <item x="4"/>
        <item x="5"/>
        <item x="6"/>
        <item x="7"/>
        <item t="default"/>
      </items>
    </pivotField>
    <pivotField numFmtId="3" showAll="0"/>
    <pivotField dataField="1" numFmtId="3" showAll="0"/>
    <pivotField numFmtId="3" showAll="0"/>
    <pivotField numFmtId="10" showAll="0"/>
    <pivotField numFmtId="3"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BUDGET " fld="6" baseField="0" baseItem="0" numFmtId="168"/>
  </dataFields>
  <formats count="1">
    <format dxfId="57">
      <pivotArea outline="0" collapsedLevelsAreSubtotals="1" fieldPosition="0"/>
    </format>
  </formats>
  <chartFormats count="3">
    <chartFormat chart="0" format="1"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s>
  <pivotTableStyleInfo name="PivotStyleMedium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52AEEBB9-AEFB-4184-92F3-3926DCACFBBA}" name="PivotTable10" cacheId="4"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4">
  <location ref="BR2:BT8" firstHeaderRow="0" firstDataRow="1" firstDataCol="1"/>
  <pivotFields count="12">
    <pivotField showAll="0" defaultSubtotal="0"/>
    <pivotField showAll="0" defaultSubtotal="0"/>
    <pivotField showAll="0" defaultSubtotal="0">
      <items count="16">
        <item x="6"/>
        <item x="5"/>
        <item x="3"/>
        <item x="7"/>
        <item x="4"/>
        <item x="2"/>
        <item x="1"/>
        <item x="0"/>
        <item m="1" x="14"/>
        <item m="1" x="13"/>
        <item m="1" x="11"/>
        <item m="1" x="15"/>
        <item m="1" x="12"/>
        <item m="1" x="10"/>
        <item m="1" x="9"/>
        <item m="1" x="8"/>
      </items>
    </pivotField>
    <pivotField showAll="0" defaultSubtotal="0"/>
    <pivotField numFmtId="14" showAll="0" defaultSubtotal="0">
      <items count="8">
        <item x="0"/>
        <item x="1"/>
        <item x="2"/>
        <item x="3"/>
        <item x="4"/>
        <item x="5"/>
        <item x="6"/>
        <item x="7"/>
      </items>
    </pivotField>
    <pivotField numFmtId="3" showAll="0" defaultSubtotal="0"/>
    <pivotField dataField="1" numFmtId="3" showAll="0" defaultSubtotal="0"/>
    <pivotField dataField="1" numFmtId="3" showAll="0" defaultSubtotal="0"/>
    <pivotField numFmtId="10" showAll="0" defaultSubtotal="0"/>
    <pivotField numFmtId="3" showAll="0" defaultSubtotal="0"/>
    <pivotField subtotalTop="0"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Row" subtotalTop="0" showAll="0" defaultSubtotal="0">
      <items count="14">
        <item sd="0" x="0"/>
        <item sd="0" x="1"/>
        <item sd="0" x="2"/>
        <item sd="0" x="3"/>
        <item sd="0" x="4"/>
        <item sd="0" x="5"/>
        <item sd="0" x="6"/>
        <item sd="0" x="7"/>
        <item sd="0" x="8"/>
        <item sd="0" x="9"/>
        <item sd="0" x="10"/>
        <item sd="0" x="11"/>
        <item sd="0" x="12"/>
        <item sd="0" x="13"/>
      </items>
    </pivotField>
  </pivotFields>
  <rowFields count="1">
    <field x="11"/>
  </rowFields>
  <rowItems count="6">
    <i>
      <x v="1"/>
    </i>
    <i>
      <x v="3"/>
    </i>
    <i>
      <x v="4"/>
    </i>
    <i>
      <x v="5"/>
    </i>
    <i>
      <x v="6"/>
    </i>
    <i>
      <x v="8"/>
    </i>
  </rowItems>
  <colFields count="1">
    <field x="-2"/>
  </colFields>
  <colItems count="2">
    <i>
      <x/>
    </i>
    <i i="1">
      <x v="1"/>
    </i>
  </colItems>
  <dataFields count="2">
    <dataField name="Sum of REALISASI ANGGARAN" fld="7" baseField="0" baseItem="0" numFmtId="3"/>
    <dataField name="Sum of BUDGET " fld="6" baseField="0" baseItem="0" numFmtId="3"/>
  </dataFields>
  <chartFormats count="6">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7" format="6" series="1">
      <pivotArea type="data" outline="0" fieldPosition="0">
        <references count="1">
          <reference field="4294967294" count="1" selected="0">
            <x v="0"/>
          </reference>
        </references>
      </pivotArea>
    </chartFormat>
    <chartFormat chart="7" format="7" series="1">
      <pivotArea type="data" outline="0" fieldPosition="0">
        <references count="1">
          <reference field="4294967294" count="1" selected="0">
            <x v="1"/>
          </reference>
        </references>
      </pivotArea>
    </chartFormat>
    <chartFormat chart="8" format="8" series="1">
      <pivotArea type="data" outline="0" fieldPosition="0">
        <references count="1">
          <reference field="4294967294" count="1" selected="0">
            <x v="0"/>
          </reference>
        </references>
      </pivotArea>
    </chartFormat>
    <chartFormat chart="8" format="9" series="1">
      <pivotArea type="data" outline="0" fieldPosition="0">
        <references count="1">
          <reference field="4294967294" count="1" selected="0">
            <x v="1"/>
          </reference>
        </references>
      </pivotArea>
    </chartFormat>
  </chartFormats>
  <pivotTableStyleInfo name="PivotStyleMedium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A37980DE-245C-47EA-8624-2E0A81E425D5}" name="PivotTable1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BN16:BN17" firstHeaderRow="1" firstDataRow="1" firstDataCol="0"/>
  <pivotFields count="12">
    <pivotField showAll="0"/>
    <pivotField showAll="0"/>
    <pivotField showAll="0">
      <items count="17">
        <item x="6"/>
        <item x="5"/>
        <item x="3"/>
        <item x="7"/>
        <item x="4"/>
        <item x="2"/>
        <item x="1"/>
        <item x="0"/>
        <item m="1" x="14"/>
        <item m="1" x="13"/>
        <item m="1" x="11"/>
        <item m="1" x="15"/>
        <item m="1" x="12"/>
        <item m="1" x="10"/>
        <item m="1" x="9"/>
        <item m="1" x="8"/>
        <item t="default"/>
      </items>
    </pivotField>
    <pivotField showAll="0"/>
    <pivotField numFmtId="14" showAll="0">
      <items count="9">
        <item x="0"/>
        <item x="1"/>
        <item x="2"/>
        <item x="3"/>
        <item x="4"/>
        <item x="5"/>
        <item x="6"/>
        <item x="7"/>
        <item t="default"/>
      </items>
    </pivotField>
    <pivotField numFmtId="3" showAll="0"/>
    <pivotField numFmtId="3" showAll="0"/>
    <pivotField numFmtId="3" showAll="0"/>
    <pivotField numFmtId="10" showAll="0"/>
    <pivotField dataField="1" numFmtId="3"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SISA BUDGET" fld="9" baseField="0" baseItem="0" numFmtId="168"/>
  </dataFields>
  <formats count="1">
    <format dxfId="58">
      <pivotArea outline="0" collapsedLevelsAreSubtotals="1" fieldPosition="0"/>
    </format>
  </formats>
  <pivotTableStyleInfo name="PivotStyleMedium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868B5990-3243-4714-9830-90B53B42A895}" name="PivotTable9"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BO2:BP11" firstHeaderRow="1" firstDataRow="1" firstDataCol="1"/>
  <pivotFields count="12">
    <pivotField showAll="0" defaultSubtotal="0"/>
    <pivotField showAll="0" defaultSubtotal="0"/>
    <pivotField axis="axisRow" showAll="0" sortType="descending" defaultSubtotal="0">
      <items count="16">
        <item m="1" x="8"/>
        <item m="1" x="9"/>
        <item m="1" x="10"/>
        <item m="1" x="12"/>
        <item m="1" x="15"/>
        <item m="1" x="11"/>
        <item m="1" x="13"/>
        <item m="1" x="14"/>
        <item x="0"/>
        <item x="1"/>
        <item x="2"/>
        <item x="4"/>
        <item x="7"/>
        <item x="3"/>
        <item x="5"/>
        <item x="6"/>
      </items>
      <autoSortScope>
        <pivotArea dataOnly="0" outline="0" fieldPosition="0">
          <references count="1">
            <reference field="4294967294" count="1" selected="0">
              <x v="0"/>
            </reference>
          </references>
        </pivotArea>
      </autoSortScope>
    </pivotField>
    <pivotField showAll="0" defaultSubtotal="0"/>
    <pivotField numFmtId="14" showAll="0" defaultSubtotal="0">
      <items count="8">
        <item x="0"/>
        <item x="1"/>
        <item x="2"/>
        <item x="3"/>
        <item x="4"/>
        <item x="5"/>
        <item x="6"/>
        <item x="7"/>
      </items>
    </pivotField>
    <pivotField numFmtId="3" showAll="0" defaultSubtotal="0"/>
    <pivotField numFmtId="3" showAll="0" defaultSubtotal="0"/>
    <pivotField numFmtId="3" showAll="0" defaultSubtotal="0"/>
    <pivotField dataField="1" numFmtId="10" showAll="0" defaultSubtotal="0"/>
    <pivotField numFmtId="3" showAll="0" defaultSubtotal="0"/>
    <pivotField subtotalTop="0"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pivotField>
    <pivotField subtotalTop="0" showAll="0" defaultSubtotal="0">
      <items count="14">
        <item x="0"/>
        <item x="1"/>
        <item x="2"/>
        <item x="3"/>
        <item x="4"/>
        <item x="5"/>
        <item x="6"/>
        <item x="7"/>
        <item x="8"/>
        <item x="9"/>
        <item x="10"/>
        <item x="11"/>
        <item x="12"/>
        <item x="13"/>
      </items>
    </pivotField>
  </pivotFields>
  <rowFields count="1">
    <field x="2"/>
  </rowFields>
  <rowItems count="9">
    <i>
      <x v="14"/>
    </i>
    <i>
      <x v="13"/>
    </i>
    <i>
      <x v="8"/>
    </i>
    <i>
      <x v="9"/>
    </i>
    <i>
      <x v="10"/>
    </i>
    <i>
      <x v="11"/>
    </i>
    <i>
      <x v="15"/>
    </i>
    <i>
      <x v="12"/>
    </i>
    <i t="grand">
      <x/>
    </i>
  </rowItems>
  <colItems count="1">
    <i/>
  </colItems>
  <dataFields count="1">
    <dataField name="Sum of PRESENTASI PENGGUNAAN" fld="8" baseField="0" baseItem="0" numFmtId="10"/>
  </dataFields>
  <chartFormats count="1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14"/>
          </reference>
        </references>
      </pivotArea>
    </chartFormat>
    <chartFormat chart="0" format="2">
      <pivotArea type="data" outline="0" fieldPosition="0">
        <references count="2">
          <reference field="4294967294" count="1" selected="0">
            <x v="0"/>
          </reference>
          <reference field="2" count="1" selected="0">
            <x v="9"/>
          </reference>
        </references>
      </pivotArea>
    </chartFormat>
    <chartFormat chart="0" format="3">
      <pivotArea type="data" outline="0" fieldPosition="0">
        <references count="2">
          <reference field="4294967294" count="1" selected="0">
            <x v="0"/>
          </reference>
          <reference field="2" count="1" selected="0">
            <x v="8"/>
          </reference>
        </references>
      </pivotArea>
    </chartFormat>
    <chartFormat chart="0" format="4">
      <pivotArea type="data" outline="0" fieldPosition="0">
        <references count="2">
          <reference field="4294967294" count="1" selected="0">
            <x v="0"/>
          </reference>
          <reference field="2" count="1" selected="0">
            <x v="13"/>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2" count="1" selected="0">
            <x v="14"/>
          </reference>
        </references>
      </pivotArea>
    </chartFormat>
    <chartFormat chart="3" format="7">
      <pivotArea type="data" outline="0" fieldPosition="0">
        <references count="2">
          <reference field="4294967294" count="1" selected="0">
            <x v="0"/>
          </reference>
          <reference field="2" count="1" selected="0">
            <x v="13"/>
          </reference>
        </references>
      </pivotArea>
    </chartFormat>
    <chartFormat chart="3" format="8">
      <pivotArea type="data" outline="0" fieldPosition="0">
        <references count="2">
          <reference field="4294967294" count="1" selected="0">
            <x v="0"/>
          </reference>
          <reference field="2" count="1" selected="0">
            <x v="8"/>
          </reference>
        </references>
      </pivotArea>
    </chartFormat>
    <chartFormat chart="3" format="9">
      <pivotArea type="data" outline="0" fieldPosition="0">
        <references count="2">
          <reference field="4294967294" count="1" selected="0">
            <x v="0"/>
          </reference>
          <reference field="2" count="1" selected="0">
            <x v="9"/>
          </reference>
        </references>
      </pivotArea>
    </chartFormat>
    <chartFormat chart="4" format="10" series="1">
      <pivotArea type="data" outline="0" fieldPosition="0">
        <references count="1">
          <reference field="4294967294" count="1" selected="0">
            <x v="0"/>
          </reference>
        </references>
      </pivotArea>
    </chartFormat>
    <chartFormat chart="4" format="11">
      <pivotArea type="data" outline="0" fieldPosition="0">
        <references count="2">
          <reference field="4294967294" count="1" selected="0">
            <x v="0"/>
          </reference>
          <reference field="2" count="1" selected="0">
            <x v="14"/>
          </reference>
        </references>
      </pivotArea>
    </chartFormat>
    <chartFormat chart="4" format="12">
      <pivotArea type="data" outline="0" fieldPosition="0">
        <references count="2">
          <reference field="4294967294" count="1" selected="0">
            <x v="0"/>
          </reference>
          <reference field="2" count="1" selected="0">
            <x v="13"/>
          </reference>
        </references>
      </pivotArea>
    </chartFormat>
    <chartFormat chart="4" format="13">
      <pivotArea type="data" outline="0" fieldPosition="0">
        <references count="2">
          <reference field="4294967294" count="1" selected="0">
            <x v="0"/>
          </reference>
          <reference field="2" count="1" selected="0">
            <x v="8"/>
          </reference>
        </references>
      </pivotArea>
    </chartFormat>
    <chartFormat chart="4" format="14">
      <pivotArea type="data" outline="0" fieldPosition="0">
        <references count="2">
          <reference field="4294967294" count="1" selected="0">
            <x v="0"/>
          </reference>
          <reference field="2" count="1" selected="0">
            <x v="9"/>
          </reference>
        </references>
      </pivotArea>
    </chartFormat>
  </chartFormats>
  <pivotTableStyleInfo name="PivotStyleMedium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3" xr16:uid="{2359BB4B-0BFB-43B4-9B9F-E55E64BA54A8}" autoFormatId="16" applyNumberFormats="0" applyBorderFormats="0" applyFontFormats="0" applyPatternFormats="0" applyAlignmentFormats="0" applyWidthHeightFormats="0">
  <queryTableRefresh nextId="8">
    <queryTableFields count="7">
      <queryTableField id="1" name="NO" tableColumnId="1"/>
      <queryTableField id="2" name="JENIS PEKERJAAN" tableColumnId="2"/>
      <queryTableField id="3" name="NAMA PEKERJAAN" tableColumnId="3"/>
      <queryTableField id="4" name="NO SP" tableColumnId="4"/>
      <queryTableField id="5" name="TANGGAL" tableColumnId="5"/>
      <queryTableField id="6" name="NILAI" tableColumnId="6"/>
      <queryTableField id="7" name="KETERANGAN" tableColumnId="7"/>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8C0E9F23-2BAD-44D6-AC6F-96BB9F0315EC}" autoFormatId="16" applyNumberFormats="0" applyBorderFormats="0" applyFontFormats="0" applyPatternFormats="0" applyAlignmentFormats="0" applyWidthHeightFormats="0">
  <queryTableRefresh nextId="14">
    <queryTableFields count="11">
      <queryTableField id="1" name="NO" tableColumnId="1"/>
      <queryTableField id="2" name="KATEGORI" tableColumnId="2"/>
      <queryTableField id="3" name="NAMA LOP" tableColumnId="3"/>
      <queryTableField id="4" name="TANGGAL SHARE ORDER" tableColumnId="4"/>
      <queryTableField id="5" name="KETERANGAN" tableColumnId="5"/>
      <queryTableField id="6" name="NILAI" tableColumnId="6"/>
      <queryTableField id="7" name="SURVEY" tableColumnId="7"/>
      <queryTableField id="8" name="DRM" tableColumnId="8"/>
      <queryTableField id="9" name="NAMA PEKERJAAN" tableColumnId="9"/>
      <queryTableField id="10" name="PO" tableColumnId="10"/>
      <queryTableField id="11" name="PRESENTASI PROJECT" tableColumnId="11"/>
    </queryTableFields>
    <queryTableDeletedFields count="2">
      <deletedField name="Column14"/>
      <deletedField name="Column15"/>
    </queryTableDeleted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4" xr16:uid="{D99CD8DA-48B7-46EE-B570-919E9FE09ED7}" autoFormatId="16" applyNumberFormats="0" applyBorderFormats="0" applyFontFormats="0" applyPatternFormats="0" applyAlignmentFormats="0" applyWidthHeightFormats="0">
  <queryTableRefresh nextId="14" unboundColumnsRight="5">
    <queryTableFields count="11">
      <queryTableField id="1" name="NO" tableColumnId="1"/>
      <queryTableField id="2" name="JENIS PEKERJAAN" tableColumnId="2"/>
      <queryTableField id="3" name="NAMA PEKERJAAN" tableColumnId="3"/>
      <queryTableField id="4" name="NO SP" tableColumnId="4"/>
      <queryTableField id="5" name="TANGGAL" tableColumnId="5"/>
      <queryTableField id="6" name="NILAI" tableColumnId="6"/>
      <queryTableField id="9" dataBound="0" tableColumnId="9"/>
      <queryTableField id="10" dataBound="0" tableColumnId="10"/>
      <queryTableField id="12" dataBound="0" tableColumnId="11"/>
      <queryTableField id="13" dataBound="0" tableColumnId="12"/>
      <queryTableField id="8" dataBound="0" tableColumnId="8"/>
    </queryTableFields>
    <queryTableDeletedFields count="1">
      <deletedField name="KETERANGAN"/>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AMA_PEKERJAAN1" xr10:uid="{C384398B-1D04-463E-A40F-A2BBCF991FCA}" sourceName="NAMA PEKERJAAN">
  <pivotTables>
    <pivotTable tabId="19" name="PivotTable6"/>
    <pivotTable tabId="19" name="PivotTable10"/>
    <pivotTable tabId="19" name="PivotTable12"/>
    <pivotTable tabId="19" name="PivotTable7"/>
    <pivotTable tabId="19" name="PivotTable8"/>
    <pivotTable tabId="19" name="PivotTable9"/>
    <pivotTable tabId="19" name="PivotTable1"/>
    <pivotTable tabId="19" name="PivotTable3"/>
    <pivotTable tabId="19" name="PivotTable5"/>
    <pivotTable tabId="19" name="PivotTable11"/>
  </pivotTables>
  <data>
    <tabular pivotCacheId="671972595">
      <items count="16">
        <i x="6" s="1"/>
        <i x="5" s="1"/>
        <i x="3" s="1"/>
        <i x="7" s="1"/>
        <i x="4" s="1"/>
        <i x="2" s="1"/>
        <i x="1" s="1"/>
        <i x="0" s="1"/>
        <i x="14" s="1" nd="1"/>
        <i x="13" s="1" nd="1"/>
        <i x="11" s="1" nd="1"/>
        <i x="15" s="1" nd="1"/>
        <i x="12" s="1" nd="1"/>
        <i x="10" s="1" nd="1"/>
        <i x="9" s="1" nd="1"/>
        <i x="8"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ANGGAL" xr10:uid="{3894CC4E-6831-4C20-9DEC-CA54314596E4}" sourceName="TANGGAL">
  <pivotTables>
    <pivotTable tabId="19" name="PivotTable10"/>
    <pivotTable tabId="19" name="PivotTable1"/>
    <pivotTable tabId="19" name="PivotTable11"/>
    <pivotTable tabId="19" name="PivotTable12"/>
    <pivotTable tabId="19" name="PivotTable3"/>
    <pivotTable tabId="19" name="PivotTable5"/>
    <pivotTable tabId="19" name="PivotTable6"/>
    <pivotTable tabId="19" name="PivotTable7"/>
    <pivotTable tabId="19" name="PivotTable8"/>
    <pivotTable tabId="19" name="PivotTable9"/>
  </pivotTables>
  <data>
    <tabular pivotCacheId="671972595">
      <items count="8">
        <i x="0" s="1"/>
        <i x="1" s="1"/>
        <i x="2" s="1"/>
        <i x="3" s="1"/>
        <i x="4" s="1"/>
        <i x="5" s="1"/>
        <i x="6" s="1"/>
        <i x="7"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AMA_PEKERJAAN2" xr10:uid="{37D5F78E-8914-482D-A4B5-EC46332FD6A1}" sourceName="NAMA PEKERJAAN">
  <pivotTables>
    <pivotTable tabId="20" name="PivotTable13"/>
    <pivotTable tabId="20" name="PivotTable1"/>
    <pivotTable tabId="20" name="PivotTable14"/>
    <pivotTable tabId="20" name="PivotTable20"/>
    <pivotTable tabId="20" name="PivotTable21"/>
    <pivotTable tabId="20" name="PivotTable3"/>
  </pivotTables>
  <data>
    <tabular pivotCacheId="251787391">
      <items count="8">
        <i x="6" s="1"/>
        <i x="4" s="1"/>
        <i x="5" s="1"/>
        <i x="7" s="1"/>
        <i x="3" s="1"/>
        <i x="2"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TANGGAL_SHARE_ORDER1" xr10:uid="{27DEDA12-C72D-42F6-9873-549C174C0F5A}" sourceName="Months (TANGGAL SHARE ORDER)">
  <pivotTables>
    <pivotTable tabId="20" name="PivotTable13"/>
  </pivotTables>
  <data>
    <tabular pivotCacheId="251787391">
      <items count="14">
        <i x="1" s="1"/>
        <i x="2" s="1"/>
        <i x="3" s="1"/>
        <i x="4" s="1"/>
        <i x="5" s="1"/>
        <i x="7" s="1"/>
        <i x="6" s="1" nd="1"/>
        <i x="8" s="1" nd="1"/>
        <i x="9" s="1" nd="1"/>
        <i x="10" s="1" nd="1"/>
        <i x="11" s="1" nd="1"/>
        <i x="12" s="1" nd="1"/>
        <i x="0" s="1"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NAMA PEKERJAAN 2" xr10:uid="{BE32B6D6-42CB-4E71-AD38-AB841D7B9D35}" cache="Slicer_NAMA_PEKERJAAN2" caption="NAMA PEKERJAAN" startItem="1" style="SlicerStyleOther1" rowHeight="241300"/>
  <slicer name="BULAN" xr10:uid="{2A179EB7-A198-4602-9B1C-01E44A363F4E}" cache="Slicer_Months__TANGGAL_SHARE_ORDER1" caption="BULAN" style="SlicerStyleOther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NAMA PEKERJAAN 1" xr10:uid="{9463909D-A004-4AB6-A256-C00651C6FD3F}" cache="Slicer_NAMA_PEKERJAAN1" caption="NAMA PEKERJAAN" style="SlicerStyleDark2" rowHeight="241300"/>
  <slicer name="TANGGAL" xr10:uid="{9A364109-6FEE-4805-AB8C-C9107ADF1321}" cache="Slicer_TANGGAL" caption="TANGGAL" style="SlicerStyleDark2" rowHeight="24130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5F289E9-5967-44B8-B006-84EDA6BFFDA5}" name="Table3" displayName="Table3" ref="A6:D225" totalsRowShown="0" headerRowBorderDxfId="92" tableBorderDxfId="91" totalsRowBorderDxfId="90">
  <autoFilter ref="A6:D225" xr:uid="{E5F289E9-5967-44B8-B006-84EDA6BFFDA5}"/>
  <tableColumns count="4">
    <tableColumn id="1" xr3:uid="{8FCAF9E4-0D39-462B-923A-9C644592B086}" name="TANGGAL" dataDxfId="89"/>
    <tableColumn id="2" xr3:uid="{3F817E1B-9C37-4B56-994A-BE4BAAFE7AC1}" name="KETERANGAN" dataDxfId="88"/>
    <tableColumn id="3" xr3:uid="{FAB95315-0C50-425A-A2E1-B86E7139C492}" name="JENIS DATA" dataDxfId="87"/>
    <tableColumn id="4" xr3:uid="{4ABE5E45-DC18-40D3-B7B7-ED8257DE6C89}" name="CATATAN KAS" dataDxfId="86"/>
  </tableColumns>
  <tableStyleInfo name="TableStyleMedium1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C07E58A6-0F46-465A-B612-DCD444C26AC0}" name="Table3__2" displayName="Table3__2" ref="A1:G9" tableType="queryTable" totalsRowShown="0">
  <autoFilter ref="A1:G9" xr:uid="{C07E58A6-0F46-465A-B612-DCD444C26AC0}"/>
  <tableColumns count="7">
    <tableColumn id="1" xr3:uid="{5B4F14E6-6379-49D4-A77F-DCBAC7DC9EB4}" uniqueName="1" name="NO" queryTableFieldId="1"/>
    <tableColumn id="2" xr3:uid="{0B597AC6-4A53-4FA4-ADAF-2525933ABA91}" uniqueName="2" name="JENIS PEKERJAAN" queryTableFieldId="2" dataDxfId="76"/>
    <tableColumn id="3" xr3:uid="{F0F7E884-C3C6-4493-B0EB-829BCB61BB3B}" uniqueName="3" name="NAMA PEKERJAAN" queryTableFieldId="3" dataDxfId="75"/>
    <tableColumn id="4" xr3:uid="{4351FA41-12AB-4AD9-89E0-6A23F654C1C0}" uniqueName="4" name="NO SP" queryTableFieldId="4" dataDxfId="74"/>
    <tableColumn id="5" xr3:uid="{B4D54F27-5BB2-44E5-99ED-F4F8DBA5AB5B}" uniqueName="5" name="TANGGAL" queryTableFieldId="5" dataDxfId="73"/>
    <tableColumn id="6" xr3:uid="{750B5CB9-A531-47D9-8FDB-E125DE7C3884}" uniqueName="6" name="NILAI" queryTableFieldId="6" dataDxfId="72"/>
    <tableColumn id="7" xr3:uid="{1E1E94E9-CBE4-40A0-B0CB-9642F559C70C}" uniqueName="7" name="KETERANGAN" queryTableFieldId="7" dataDxfId="71"/>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D992C1C-9338-47C1-BFBF-368B8047BE5A}" name="Table1_1" displayName="Table1_1" ref="A1:K29" tableType="queryTable" totalsRowShown="0" headerRowDxfId="70">
  <autoFilter ref="A1:K29" xr:uid="{FD992C1C-9338-47C1-BFBF-368B8047BE5A}"/>
  <tableColumns count="11">
    <tableColumn id="1" xr3:uid="{8A6652E6-ABF8-4F79-A4FC-8F669040F78E}" uniqueName="1" name="NO" queryTableFieldId="1" dataDxfId="69"/>
    <tableColumn id="2" xr3:uid="{A609EB76-EBF5-4E42-B992-B5382C786CAB}" uniqueName="2" name="KATEGORI" queryTableFieldId="2" dataDxfId="68"/>
    <tableColumn id="3" xr3:uid="{E32A775B-1160-4E2D-B6F9-4C22F7A9E64F}" uniqueName="3" name="NAMA LOP" queryTableFieldId="3" dataDxfId="67"/>
    <tableColumn id="4" xr3:uid="{08BEB839-E701-4221-A342-64A0483F541A}" uniqueName="4" name="TANGGAL SHARE ORDER" queryTableFieldId="4" dataDxfId="66"/>
    <tableColumn id="5" xr3:uid="{6AF866C5-A80A-4373-B7E1-2FC60AEFAD76}" uniqueName="5" name="KETERANGAN" queryTableFieldId="5" dataDxfId="65"/>
    <tableColumn id="6" xr3:uid="{7E276A75-7629-44FA-8176-BF04DE8A8645}" uniqueName="6" name="NILAI" queryTableFieldId="6" dataDxfId="64"/>
    <tableColumn id="7" xr3:uid="{B5455AEA-AB05-4BAE-B6EF-A195664CFEEB}" uniqueName="7" name="SURVEY" queryTableFieldId="7" dataDxfId="63"/>
    <tableColumn id="8" xr3:uid="{871AE673-66D0-41F4-96BC-77D0A5FECAC3}" uniqueName="8" name="DRM" queryTableFieldId="8" dataDxfId="62"/>
    <tableColumn id="9" xr3:uid="{0D87AA86-5E64-487E-BE79-E821574F8978}" uniqueName="9" name="NAMA PEKERJAAN" queryTableFieldId="9" dataDxfId="61"/>
    <tableColumn id="10" xr3:uid="{3726176A-6F81-4649-BC4D-2337C2560AEB}" uniqueName="10" name="PO" queryTableFieldId="10" dataDxfId="60"/>
    <tableColumn id="11" xr3:uid="{F41A720B-D907-4B15-A373-29F83F4C770B}" uniqueName="11" name="PRESENTASI PROJECT" queryTableFieldId="11" dataDxfId="59"/>
  </tableColumns>
  <tableStyleInfo name="TableStyleMedium10"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6D2E245-A437-4A13-8C41-EB247C85813C}" name="Table4" displayName="Table4" ref="L1:U9" totalsRowShown="0" dataDxfId="53" headerRowBorderDxfId="54">
  <autoFilter ref="L1:U9" xr:uid="{46D2E245-A437-4A13-8C41-EB247C85813C}"/>
  <tableColumns count="10">
    <tableColumn id="1" xr3:uid="{EBD11F08-EB2E-44F1-A751-64ACA893999B}" name="NO" dataDxfId="52"/>
    <tableColumn id="2" xr3:uid="{54C448B7-0AB2-4F31-932E-B2B96673E863}" name="JENIS PEKERJAAN" dataDxfId="51"/>
    <tableColumn id="3" xr3:uid="{283E4008-E58D-4CC3-B6FB-71CE0C01F85D}" name="NAMA PEKERJAAN" dataDxfId="50"/>
    <tableColumn id="4" xr3:uid="{702A45E8-896C-4258-B5C7-3C34D082DB73}" name="NO SP" dataDxfId="49"/>
    <tableColumn id="5" xr3:uid="{57D2F756-1D13-42C4-90F7-08EEADEEF02A}" name="TANGGAL" dataDxfId="48"/>
    <tableColumn id="6" xr3:uid="{BE5660B1-D6B6-43A0-B899-4E97DD01EC1A}" name="NILAI BOQ" dataDxfId="47"/>
    <tableColumn id="7" xr3:uid="{F811C6A6-E7E2-4D67-9CE5-E65BBB0B917F}" name="BUDGET " dataDxfId="46">
      <calculatedColumnFormula>Table3__22[[#This Row],[NILAI BOQ]]*0.7</calculatedColumnFormula>
    </tableColumn>
    <tableColumn id="8" xr3:uid="{E7635E85-BD87-49D8-9B49-363273AB75F9}" name="REALISASI ANGGARAN" dataDxfId="45"/>
    <tableColumn id="9" xr3:uid="{FE19C4EC-402C-4161-B65C-B58577E18D84}" name="PRESENTASI PENGGUNAAN" dataDxfId="44" dataCellStyle="Percent">
      <calculatedColumnFormula>Table3__22[[#This Row],[REALISASI ANGGARAN]]/Table3__22[[#This Row],[BUDGET ]]</calculatedColumnFormula>
    </tableColumn>
    <tableColumn id="10" xr3:uid="{BA0F65B3-C9A2-4C1F-B17D-B72EEDC735D2}" name="SISA BUDGET" dataDxfId="43" dataCellStyle="Percent">
      <calculatedColumnFormula>Table3__22[[#This Row],[BUDGET ]]-Table3__22[[#This Row],[REALISASI ANGGARAN]]</calculatedColumnFormula>
    </tableColumn>
  </tableColumns>
  <tableStyleInfo name="TableStyleDark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864E847-FC98-4A41-8780-17542991F51B}" name="Table3__22" displayName="Table3__22" ref="A1:K10" tableType="queryTable" totalsRowCount="1" headerRowDxfId="42">
  <autoFilter ref="A1:K9" xr:uid="{C07E58A6-0F46-465A-B612-DCD444C26AC0}"/>
  <tableColumns count="11">
    <tableColumn id="1" xr3:uid="{6D6F6057-352F-48D8-8A8A-D1C10F82E8EB}" uniqueName="1" name="NO" queryTableFieldId="1"/>
    <tableColumn id="2" xr3:uid="{F490E405-1B0B-4682-8177-371B11E226AA}" uniqueName="2" name="JENIS PEKERJAAN" queryTableFieldId="2" dataDxfId="41"/>
    <tableColumn id="3" xr3:uid="{C238CCBE-C795-4A6E-8667-3E297BD30621}" uniqueName="3" name="NAMA PEKERJAAN" totalsRowLabel="TOTAL" queryTableFieldId="3" dataDxfId="40" totalsRowDxfId="29"/>
    <tableColumn id="4" xr3:uid="{6060EFF3-3F49-4B66-B61F-C4111F5033D7}" uniqueName="4" name="NO SP" queryTableFieldId="4" dataDxfId="39" totalsRowDxfId="28"/>
    <tableColumn id="5" xr3:uid="{C85412F5-B423-4C24-9133-EEB27B219ABA}" uniqueName="5" name="TANGGAL" queryTableFieldId="5" dataDxfId="38" totalsRowDxfId="27"/>
    <tableColumn id="6" xr3:uid="{9E9AD7CD-C011-483B-845F-CDF41ADFAFDE}" uniqueName="6" name="NILAI BOQ" totalsRowFunction="sum" queryTableFieldId="6" dataDxfId="37" totalsRowDxfId="26"/>
    <tableColumn id="9" xr3:uid="{51B8CDA0-9F50-4449-A1D9-E8AD2899CF3B}" uniqueName="9" name="BUDGET " totalsRowFunction="sum" queryTableFieldId="9" dataDxfId="36" totalsRowDxfId="25">
      <calculatedColumnFormula>Table3__22[[#This Row],[NILAI BOQ]]*0.7</calculatedColumnFormula>
    </tableColumn>
    <tableColumn id="10" xr3:uid="{4C5A24C7-606C-456F-B4E5-FE04944A50B0}" uniqueName="10" name="REALISASI ANGGARAN" totalsRowFunction="sum" queryTableFieldId="10" dataDxfId="35" totalsRowDxfId="24"/>
    <tableColumn id="11" xr3:uid="{725A7D41-762A-43D2-A240-451D3B41429A}" uniqueName="11" name="PRESENTASI PENGGUNAAN" queryTableFieldId="12" dataDxfId="34" totalsRowDxfId="23" dataCellStyle="Percent">
      <calculatedColumnFormula>Table3__22[[#This Row],[REALISASI ANGGARAN]]/Table3__22[[#This Row],[BUDGET ]]</calculatedColumnFormula>
    </tableColumn>
    <tableColumn id="12" xr3:uid="{8C42183F-5DF5-4D05-8FCE-988B0CCBCE97}" uniqueName="12" name="SISA BUDGET" totalsRowFunction="sum" queryTableFieldId="13" dataDxfId="33" totalsRowDxfId="22" dataCellStyle="Percent">
      <calculatedColumnFormula>Table3__22[[#This Row],[BUDGET ]]-Table3__22[[#This Row],[REALISASI ANGGARAN]]</calculatedColumnFormula>
    </tableColumn>
    <tableColumn id="8" xr3:uid="{58F57EDD-D860-488C-A530-1A8E1BE0E98F}" uniqueName="8" name="STATUS BUDGET" totalsRowFunction="custom" queryTableFieldId="8" dataDxfId="32" totalsRowDxfId="21">
      <calculatedColumnFormula>IFERROR(IF(Table3__22[[#This Row],[REALISASI ANGGARAN]]&lt;Table3__22[[#This Row],[BUDGET ]],"BUDGET SURPLUS","OVER BUDGET"),"")</calculatedColumnFormula>
      <totalsRowFormula>Table3__22[[#Totals],[BUDGET ]]-Table3__22[[#Totals],[REALISASI ANGGARAN]]</totalsRowFormula>
    </tableColumn>
  </tableColumns>
  <tableStyleInfo name="TableStyleDark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pivotTable" Target="../pivotTables/pivotTable1.xml"/><Relationship Id="rId4"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9.xml"/><Relationship Id="rId3" Type="http://schemas.openxmlformats.org/officeDocument/2006/relationships/pivotTable" Target="../pivotTables/pivotTable4.xml"/><Relationship Id="rId7" Type="http://schemas.openxmlformats.org/officeDocument/2006/relationships/pivotTable" Target="../pivotTables/pivotTable8.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 Id="rId9" Type="http://schemas.openxmlformats.org/officeDocument/2006/relationships/pivotTable" Target="../pivotTables/pivotTable10.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18.xml"/><Relationship Id="rId13" Type="http://schemas.openxmlformats.org/officeDocument/2006/relationships/table" Target="../tables/table4.xml"/><Relationship Id="rId3" Type="http://schemas.openxmlformats.org/officeDocument/2006/relationships/pivotTable" Target="../pivotTables/pivotTable13.xml"/><Relationship Id="rId7" Type="http://schemas.openxmlformats.org/officeDocument/2006/relationships/pivotTable" Target="../pivotTables/pivotTable17.xml"/><Relationship Id="rId12" Type="http://schemas.openxmlformats.org/officeDocument/2006/relationships/drawing" Target="../drawings/drawing3.xml"/><Relationship Id="rId2" Type="http://schemas.openxmlformats.org/officeDocument/2006/relationships/pivotTable" Target="../pivotTables/pivotTable12.xml"/><Relationship Id="rId1" Type="http://schemas.openxmlformats.org/officeDocument/2006/relationships/pivotTable" Target="../pivotTables/pivotTable11.xml"/><Relationship Id="rId6" Type="http://schemas.openxmlformats.org/officeDocument/2006/relationships/pivotTable" Target="../pivotTables/pivotTable16.xml"/><Relationship Id="rId11" Type="http://schemas.openxmlformats.org/officeDocument/2006/relationships/printerSettings" Target="../printerSettings/printerSettings3.bin"/><Relationship Id="rId5" Type="http://schemas.openxmlformats.org/officeDocument/2006/relationships/pivotTable" Target="../pivotTables/pivotTable15.xml"/><Relationship Id="rId10" Type="http://schemas.openxmlformats.org/officeDocument/2006/relationships/pivotTable" Target="../pivotTables/pivotTable20.xml"/><Relationship Id="rId4" Type="http://schemas.openxmlformats.org/officeDocument/2006/relationships/pivotTable" Target="../pivotTables/pivotTable14.xml"/><Relationship Id="rId9" Type="http://schemas.openxmlformats.org/officeDocument/2006/relationships/pivotTable" Target="../pivotTables/pivotTable19.xml"/><Relationship Id="rId14" Type="http://schemas.microsoft.com/office/2007/relationships/slicer" Target="../slicers/slicer2.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B70A37-EB33-4234-BF0C-39FCFCB76A56}">
  <sheetPr>
    <tabColor rgb="FF0070C0"/>
  </sheetPr>
  <dimension ref="T1:AV35"/>
  <sheetViews>
    <sheetView showGridLines="0" tabSelected="1" zoomScale="50" zoomScaleNormal="50" zoomScaleSheetLayoutView="70" workbookViewId="0">
      <selection activeCell="Z10" sqref="Z10"/>
    </sheetView>
  </sheetViews>
  <sheetFormatPr defaultRowHeight="14.5" x14ac:dyDescent="0.35"/>
  <cols>
    <col min="1" max="1" width="9.7265625" customWidth="1"/>
    <col min="2" max="2" width="11.453125" bestFit="1" customWidth="1"/>
    <col min="17" max="17" width="24.6328125" customWidth="1"/>
    <col min="18" max="18" width="28.90625" customWidth="1"/>
    <col min="20" max="20" width="14.1796875" bestFit="1" customWidth="1"/>
    <col min="24" max="24" width="29.90625" bestFit="1" customWidth="1"/>
    <col min="25" max="25" width="11.6328125" bestFit="1" customWidth="1"/>
    <col min="27" max="27" width="75.90625" bestFit="1" customWidth="1"/>
    <col min="28" max="28" width="15.453125" bestFit="1" customWidth="1"/>
    <col min="31" max="31" width="29.90625" bestFit="1" customWidth="1"/>
    <col min="32" max="32" width="11.6328125" bestFit="1" customWidth="1"/>
    <col min="34" max="34" width="12.90625" bestFit="1" customWidth="1"/>
    <col min="35" max="35" width="19.26953125" bestFit="1" customWidth="1"/>
    <col min="39" max="39" width="29.90625" bestFit="1" customWidth="1"/>
    <col min="40" max="40" width="11.6328125" bestFit="1" customWidth="1"/>
    <col min="45" max="45" width="60.81640625" bestFit="1" customWidth="1"/>
    <col min="46" max="46" width="13.1796875" bestFit="1" customWidth="1"/>
    <col min="48" max="48" width="29.90625" bestFit="1" customWidth="1"/>
    <col min="49" max="49" width="11.6328125" bestFit="1" customWidth="1"/>
  </cols>
  <sheetData>
    <row r="1" spans="20:48" ht="22.5" customHeight="1" x14ac:dyDescent="0.35"/>
    <row r="2" spans="20:48" ht="28.5" customHeight="1" x14ac:dyDescent="0.35"/>
    <row r="3" spans="20:48" ht="51" customHeight="1" x14ac:dyDescent="0.35">
      <c r="AE3">
        <v>1</v>
      </c>
      <c r="AH3">
        <v>2</v>
      </c>
      <c r="AV3">
        <v>6</v>
      </c>
    </row>
    <row r="4" spans="20:48" ht="14.5" customHeight="1" x14ac:dyDescent="0.35"/>
    <row r="5" spans="20:48" ht="14.5" customHeight="1" x14ac:dyDescent="0.35"/>
    <row r="6" spans="20:48" ht="15.5" customHeight="1" x14ac:dyDescent="0.35"/>
    <row r="7" spans="20:48" ht="15.5" customHeight="1" x14ac:dyDescent="0.35"/>
    <row r="8" spans="20:48" ht="15.5" customHeight="1" x14ac:dyDescent="0.35"/>
    <row r="13" spans="20:48" x14ac:dyDescent="0.35">
      <c r="T13" s="33"/>
    </row>
    <row r="16" spans="20:48" ht="15.5" customHeight="1" x14ac:dyDescent="0.35"/>
    <row r="17" spans="27:27" ht="15.5" customHeight="1" x14ac:dyDescent="0.35"/>
    <row r="18" spans="27:27" ht="15.5" customHeight="1" x14ac:dyDescent="0.35"/>
    <row r="26" spans="27:27" x14ac:dyDescent="0.35">
      <c r="AA26" t="s">
        <v>208</v>
      </c>
    </row>
    <row r="27" spans="27:27" ht="15.5" customHeight="1" x14ac:dyDescent="0.35"/>
    <row r="28" spans="27:27" ht="15.5" customHeight="1" x14ac:dyDescent="0.35"/>
    <row r="29" spans="27:27" ht="15.5" customHeight="1" x14ac:dyDescent="0.35"/>
    <row r="33" ht="15.5" customHeight="1" x14ac:dyDescent="0.35"/>
    <row r="34" ht="15.5" customHeight="1" x14ac:dyDescent="0.35"/>
    <row r="35" ht="15.5" customHeight="1" x14ac:dyDescent="0.35"/>
  </sheetData>
  <pageMargins left="0.70866141732283472" right="0.70866141732283472" top="0.74803149606299213" bottom="0.74803149606299213" header="0.31496062992125984" footer="0.31496062992125984"/>
  <pageSetup scale="70" orientation="landscape"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9EBD07-4145-49CD-9E6D-51FC4ABE941C}">
  <sheetPr>
    <tabColor rgb="FFFF0000"/>
  </sheetPr>
  <dimension ref="A1:J233"/>
  <sheetViews>
    <sheetView workbookViewId="0">
      <pane xSplit="1" ySplit="6" topLeftCell="B218" activePane="bottomRight" state="frozen"/>
      <selection pane="topRight" activeCell="B1" sqref="B1"/>
      <selection pane="bottomLeft" activeCell="A7" sqref="A7"/>
      <selection pane="bottomRight" activeCell="D226" sqref="D226"/>
    </sheetView>
  </sheetViews>
  <sheetFormatPr defaultRowHeight="14.5" x14ac:dyDescent="0.35"/>
  <cols>
    <col min="1" max="1" width="13.36328125" style="12" customWidth="1"/>
    <col min="2" max="3" width="18.54296875" style="2" customWidth="1"/>
    <col min="4" max="4" width="18.54296875" style="3" customWidth="1"/>
    <col min="6" max="6" width="18.81640625" bestFit="1" customWidth="1"/>
    <col min="7" max="7" width="15.26953125" bestFit="1" customWidth="1"/>
    <col min="8" max="8" width="10.90625" bestFit="1" customWidth="1"/>
    <col min="9" max="9" width="12.6328125" bestFit="1" customWidth="1"/>
    <col min="10" max="11" width="10.90625" bestFit="1" customWidth="1"/>
    <col min="12" max="12" width="12.36328125" bestFit="1" customWidth="1"/>
    <col min="13" max="13" width="18.81640625" bestFit="1" customWidth="1"/>
    <col min="14" max="14" width="8.90625" bestFit="1" customWidth="1"/>
    <col min="15" max="15" width="10.90625" bestFit="1" customWidth="1"/>
  </cols>
  <sheetData>
    <row r="1" spans="1:10" ht="32.5" customHeight="1" x14ac:dyDescent="0.35">
      <c r="A1" s="56" t="s">
        <v>214</v>
      </c>
      <c r="B1" s="56"/>
      <c r="C1" s="56"/>
      <c r="D1" s="56"/>
    </row>
    <row r="2" spans="1:10" x14ac:dyDescent="0.35">
      <c r="A2" s="57" t="s">
        <v>215</v>
      </c>
      <c r="B2" s="57"/>
      <c r="C2" s="58" t="s">
        <v>216</v>
      </c>
      <c r="D2" s="58"/>
    </row>
    <row r="3" spans="1:10" ht="21.5" customHeight="1" x14ac:dyDescent="0.35">
      <c r="A3" s="59">
        <f>SUMIFS(Table3[CATATAN KAS],Table3[JENIS DATA],"KAS MASUK")</f>
        <v>381736399.59999996</v>
      </c>
      <c r="B3" s="59"/>
      <c r="C3" s="60">
        <f>SUMIFS(Table3[CATATAN KAS],Table3[JENIS DATA],"KAS KELUAR")</f>
        <v>381891257</v>
      </c>
      <c r="D3" s="60"/>
    </row>
    <row r="4" spans="1:10" x14ac:dyDescent="0.35">
      <c r="A4" s="54" t="s">
        <v>217</v>
      </c>
      <c r="B4" s="54"/>
      <c r="C4" s="54"/>
      <c r="D4" s="54"/>
    </row>
    <row r="5" spans="1:10" ht="23.5" customHeight="1" x14ac:dyDescent="0.35">
      <c r="A5" s="55">
        <f>A3-C3</f>
        <v>-154857.40000003576</v>
      </c>
      <c r="B5" s="55"/>
      <c r="C5" s="55"/>
      <c r="D5" s="55"/>
    </row>
    <row r="6" spans="1:10" ht="39" customHeight="1" x14ac:dyDescent="0.35">
      <c r="A6" s="21" t="s">
        <v>52</v>
      </c>
      <c r="B6" s="22" t="s">
        <v>4</v>
      </c>
      <c r="C6" s="22" t="s">
        <v>95</v>
      </c>
      <c r="D6" s="23" t="s">
        <v>90</v>
      </c>
    </row>
    <row r="7" spans="1:10" x14ac:dyDescent="0.35">
      <c r="A7" s="37">
        <v>46029</v>
      </c>
      <c r="B7" s="13" t="s">
        <v>97</v>
      </c>
      <c r="C7" s="13" t="s">
        <v>98</v>
      </c>
      <c r="D7" s="17">
        <v>263850</v>
      </c>
      <c r="F7" s="1" t="s">
        <v>94</v>
      </c>
      <c r="G7" s="1" t="s">
        <v>93</v>
      </c>
    </row>
    <row r="8" spans="1:10" x14ac:dyDescent="0.35">
      <c r="A8" s="37">
        <v>46037</v>
      </c>
      <c r="B8" s="13" t="s">
        <v>99</v>
      </c>
      <c r="C8" s="13" t="s">
        <v>98</v>
      </c>
      <c r="D8" s="17">
        <v>1500000</v>
      </c>
      <c r="F8" s="1" t="s">
        <v>91</v>
      </c>
      <c r="G8" t="s">
        <v>98</v>
      </c>
      <c r="H8" t="s">
        <v>96</v>
      </c>
    </row>
    <row r="9" spans="1:10" x14ac:dyDescent="0.35">
      <c r="A9" s="38">
        <v>46037</v>
      </c>
      <c r="B9" s="14" t="s">
        <v>87</v>
      </c>
      <c r="C9" s="14" t="s">
        <v>96</v>
      </c>
      <c r="D9" s="18">
        <v>1500000</v>
      </c>
      <c r="F9" s="2" t="s">
        <v>77</v>
      </c>
      <c r="G9" s="3">
        <v>44779850</v>
      </c>
      <c r="H9" s="3">
        <v>47500000</v>
      </c>
      <c r="J9" s="35"/>
    </row>
    <row r="10" spans="1:10" x14ac:dyDescent="0.35">
      <c r="A10" s="37">
        <v>46041</v>
      </c>
      <c r="B10" s="13" t="s">
        <v>100</v>
      </c>
      <c r="C10" s="13" t="s">
        <v>98</v>
      </c>
      <c r="D10" s="17">
        <v>10000000</v>
      </c>
      <c r="F10" s="2" t="s">
        <v>78</v>
      </c>
      <c r="G10" s="3">
        <v>10623850</v>
      </c>
      <c r="H10" s="3">
        <v>16000000</v>
      </c>
      <c r="J10" s="35"/>
    </row>
    <row r="11" spans="1:10" x14ac:dyDescent="0.35">
      <c r="A11" s="38">
        <v>46041</v>
      </c>
      <c r="B11" s="14" t="s">
        <v>87</v>
      </c>
      <c r="C11" s="14" t="s">
        <v>96</v>
      </c>
      <c r="D11" s="18">
        <v>10000000</v>
      </c>
      <c r="F11" s="2" t="s">
        <v>79</v>
      </c>
      <c r="G11" s="3">
        <v>84743829</v>
      </c>
      <c r="H11" s="3">
        <v>86000000</v>
      </c>
      <c r="J11" s="35"/>
    </row>
    <row r="12" spans="1:10" x14ac:dyDescent="0.35">
      <c r="A12" s="38">
        <v>46048</v>
      </c>
      <c r="B12" s="14" t="s">
        <v>87</v>
      </c>
      <c r="C12" s="14" t="s">
        <v>96</v>
      </c>
      <c r="D12" s="18">
        <v>15000000</v>
      </c>
      <c r="F12" s="2" t="s">
        <v>80</v>
      </c>
      <c r="G12" s="3">
        <v>110371600</v>
      </c>
      <c r="H12" s="3">
        <v>133072650.5</v>
      </c>
      <c r="J12" s="35"/>
    </row>
    <row r="13" spans="1:10" x14ac:dyDescent="0.35">
      <c r="A13" s="37">
        <v>46049</v>
      </c>
      <c r="B13" s="13" t="s">
        <v>101</v>
      </c>
      <c r="C13" s="13" t="s">
        <v>98</v>
      </c>
      <c r="D13" s="17">
        <v>10000000</v>
      </c>
      <c r="F13" s="2" t="s">
        <v>81</v>
      </c>
      <c r="G13" s="3">
        <v>100816350</v>
      </c>
      <c r="H13" s="3">
        <v>91144488.100000009</v>
      </c>
      <c r="J13" s="35"/>
    </row>
    <row r="14" spans="1:10" x14ac:dyDescent="0.35">
      <c r="A14" s="37">
        <v>46049</v>
      </c>
      <c r="B14" s="13" t="s">
        <v>102</v>
      </c>
      <c r="C14" s="13" t="s">
        <v>98</v>
      </c>
      <c r="D14" s="17">
        <v>675000</v>
      </c>
      <c r="F14" s="2" t="s">
        <v>199</v>
      </c>
      <c r="G14" s="3">
        <v>20065314</v>
      </c>
      <c r="H14" s="3"/>
      <c r="J14" s="35"/>
    </row>
    <row r="15" spans="1:10" x14ac:dyDescent="0.35">
      <c r="A15" s="37">
        <v>46049</v>
      </c>
      <c r="B15" s="13" t="s">
        <v>103</v>
      </c>
      <c r="C15" s="13" t="s">
        <v>98</v>
      </c>
      <c r="D15" s="17">
        <v>1500000</v>
      </c>
      <c r="F15" s="2" t="s">
        <v>82</v>
      </c>
      <c r="G15" s="3">
        <v>1464850</v>
      </c>
      <c r="H15" s="3">
        <v>1500000</v>
      </c>
      <c r="J15" s="35"/>
    </row>
    <row r="16" spans="1:10" x14ac:dyDescent="0.35">
      <c r="A16" s="37">
        <v>46050</v>
      </c>
      <c r="B16" s="13" t="s">
        <v>104</v>
      </c>
      <c r="C16" s="13" t="s">
        <v>98</v>
      </c>
      <c r="D16" s="17">
        <v>300000</v>
      </c>
      <c r="F16" s="2" t="s">
        <v>92</v>
      </c>
      <c r="G16" s="3">
        <v>4964850</v>
      </c>
      <c r="H16" s="3">
        <v>4919261</v>
      </c>
      <c r="J16" s="35"/>
    </row>
    <row r="17" spans="1:10" x14ac:dyDescent="0.35">
      <c r="A17" s="37">
        <v>46052</v>
      </c>
      <c r="B17" s="13" t="s">
        <v>105</v>
      </c>
      <c r="C17" s="13" t="s">
        <v>98</v>
      </c>
      <c r="D17" s="17">
        <v>500000</v>
      </c>
      <c r="F17" s="2" t="s">
        <v>71</v>
      </c>
      <c r="G17" s="3">
        <v>377830493</v>
      </c>
      <c r="H17" s="3">
        <v>380136399.60000002</v>
      </c>
      <c r="J17" s="35"/>
    </row>
    <row r="18" spans="1:10" x14ac:dyDescent="0.35">
      <c r="A18" s="37">
        <v>46052</v>
      </c>
      <c r="B18" s="13" t="s">
        <v>106</v>
      </c>
      <c r="C18" s="13" t="s">
        <v>98</v>
      </c>
      <c r="D18" s="17">
        <v>126000</v>
      </c>
      <c r="H18" s="16"/>
    </row>
    <row r="19" spans="1:10" x14ac:dyDescent="0.35">
      <c r="A19" s="37">
        <v>46053</v>
      </c>
      <c r="B19" s="13" t="s">
        <v>107</v>
      </c>
      <c r="C19" s="13" t="s">
        <v>98</v>
      </c>
      <c r="D19" s="17">
        <v>19915000</v>
      </c>
    </row>
    <row r="20" spans="1:10" x14ac:dyDescent="0.35">
      <c r="A20" s="38">
        <v>46053</v>
      </c>
      <c r="B20" s="14" t="s">
        <v>87</v>
      </c>
      <c r="C20" s="14" t="s">
        <v>96</v>
      </c>
      <c r="D20" s="18">
        <v>21000000</v>
      </c>
    </row>
    <row r="21" spans="1:10" x14ac:dyDescent="0.35">
      <c r="A21" s="37">
        <v>46057</v>
      </c>
      <c r="B21" s="13" t="s">
        <v>105</v>
      </c>
      <c r="C21" s="13" t="s">
        <v>98</v>
      </c>
      <c r="D21" s="17">
        <v>500000</v>
      </c>
    </row>
    <row r="22" spans="1:10" x14ac:dyDescent="0.35">
      <c r="A22" s="37">
        <v>46059</v>
      </c>
      <c r="B22" s="13" t="s">
        <v>106</v>
      </c>
      <c r="C22" s="13" t="s">
        <v>98</v>
      </c>
      <c r="D22" s="17">
        <v>500000</v>
      </c>
    </row>
    <row r="23" spans="1:10" x14ac:dyDescent="0.35">
      <c r="A23" s="37">
        <v>46060</v>
      </c>
      <c r="B23" s="13" t="s">
        <v>108</v>
      </c>
      <c r="C23" s="13" t="s">
        <v>98</v>
      </c>
      <c r="D23" s="17">
        <v>4000000</v>
      </c>
    </row>
    <row r="24" spans="1:10" x14ac:dyDescent="0.35">
      <c r="A24" s="38">
        <v>46060</v>
      </c>
      <c r="B24" s="14" t="s">
        <v>87</v>
      </c>
      <c r="C24" s="14" t="s">
        <v>96</v>
      </c>
      <c r="D24" s="19">
        <v>4000000</v>
      </c>
    </row>
    <row r="25" spans="1:10" x14ac:dyDescent="0.35">
      <c r="A25" s="37">
        <v>46061</v>
      </c>
      <c r="B25" s="13" t="s">
        <v>109</v>
      </c>
      <c r="C25" s="13" t="s">
        <v>98</v>
      </c>
      <c r="D25" s="17">
        <v>200000</v>
      </c>
    </row>
    <row r="26" spans="1:10" x14ac:dyDescent="0.35">
      <c r="A26" s="37">
        <v>46062</v>
      </c>
      <c r="B26" s="13" t="s">
        <v>110</v>
      </c>
      <c r="C26" s="13" t="s">
        <v>98</v>
      </c>
      <c r="D26" s="17">
        <v>1000000</v>
      </c>
    </row>
    <row r="27" spans="1:10" x14ac:dyDescent="0.35">
      <c r="A27" s="37">
        <v>46063</v>
      </c>
      <c r="B27" s="34" t="s">
        <v>206</v>
      </c>
      <c r="C27" s="13" t="s">
        <v>98</v>
      </c>
      <c r="D27" s="20">
        <v>250000</v>
      </c>
    </row>
    <row r="28" spans="1:10" x14ac:dyDescent="0.35">
      <c r="A28" s="37">
        <v>46064</v>
      </c>
      <c r="B28" s="34" t="s">
        <v>207</v>
      </c>
      <c r="C28" s="13" t="s">
        <v>98</v>
      </c>
      <c r="D28" s="20">
        <v>250000</v>
      </c>
    </row>
    <row r="29" spans="1:10" x14ac:dyDescent="0.35">
      <c r="A29" s="37">
        <v>46071</v>
      </c>
      <c r="B29" s="13" t="s">
        <v>115</v>
      </c>
      <c r="C29" s="13" t="s">
        <v>98</v>
      </c>
      <c r="D29" s="17">
        <v>263850</v>
      </c>
    </row>
    <row r="30" spans="1:10" x14ac:dyDescent="0.35">
      <c r="A30" s="37">
        <v>46073</v>
      </c>
      <c r="B30" s="13" t="s">
        <v>116</v>
      </c>
      <c r="C30" s="13" t="s">
        <v>98</v>
      </c>
      <c r="D30" s="17">
        <v>500000</v>
      </c>
    </row>
    <row r="31" spans="1:10" x14ac:dyDescent="0.35">
      <c r="A31" s="37">
        <v>46075</v>
      </c>
      <c r="B31" s="13" t="s">
        <v>116</v>
      </c>
      <c r="C31" s="13" t="s">
        <v>98</v>
      </c>
      <c r="D31" s="17">
        <v>250000</v>
      </c>
    </row>
    <row r="32" spans="1:10" x14ac:dyDescent="0.35">
      <c r="A32" s="37">
        <v>46077</v>
      </c>
      <c r="B32" s="13" t="s">
        <v>117</v>
      </c>
      <c r="C32" s="13" t="s">
        <v>98</v>
      </c>
      <c r="D32" s="17">
        <v>200000</v>
      </c>
    </row>
    <row r="33" spans="1:4" x14ac:dyDescent="0.35">
      <c r="A33" s="37">
        <v>46078</v>
      </c>
      <c r="B33" s="13" t="s">
        <v>118</v>
      </c>
      <c r="C33" s="13" t="s">
        <v>98</v>
      </c>
      <c r="D33" s="17">
        <v>2210000</v>
      </c>
    </row>
    <row r="34" spans="1:4" x14ac:dyDescent="0.35">
      <c r="A34" s="37">
        <v>46081</v>
      </c>
      <c r="B34" s="13" t="s">
        <v>119</v>
      </c>
      <c r="C34" s="13" t="s">
        <v>98</v>
      </c>
      <c r="D34" s="17">
        <v>500000</v>
      </c>
    </row>
    <row r="35" spans="1:4" x14ac:dyDescent="0.35">
      <c r="A35" s="38">
        <v>46081</v>
      </c>
      <c r="B35" s="14" t="s">
        <v>83</v>
      </c>
      <c r="C35" s="14" t="s">
        <v>96</v>
      </c>
      <c r="D35" s="19">
        <v>12000000</v>
      </c>
    </row>
    <row r="36" spans="1:4" x14ac:dyDescent="0.35">
      <c r="A36" s="37">
        <v>46082</v>
      </c>
      <c r="B36" s="13" t="s">
        <v>119</v>
      </c>
      <c r="C36" s="13" t="s">
        <v>98</v>
      </c>
      <c r="D36" s="17">
        <v>100000</v>
      </c>
    </row>
    <row r="37" spans="1:4" x14ac:dyDescent="0.35">
      <c r="A37" s="37">
        <v>46083</v>
      </c>
      <c r="B37" s="13" t="s">
        <v>120</v>
      </c>
      <c r="C37" s="13" t="s">
        <v>98</v>
      </c>
      <c r="D37" s="17">
        <v>1537500</v>
      </c>
    </row>
    <row r="38" spans="1:4" x14ac:dyDescent="0.35">
      <c r="A38" s="37">
        <v>46083</v>
      </c>
      <c r="B38" s="13" t="s">
        <v>121</v>
      </c>
      <c r="C38" s="13" t="s">
        <v>98</v>
      </c>
      <c r="D38" s="17">
        <v>5000000</v>
      </c>
    </row>
    <row r="39" spans="1:4" x14ac:dyDescent="0.35">
      <c r="A39" s="37">
        <v>46085</v>
      </c>
      <c r="B39" s="13" t="s">
        <v>121</v>
      </c>
      <c r="C39" s="13" t="s">
        <v>98</v>
      </c>
      <c r="D39" s="17">
        <v>1000000</v>
      </c>
    </row>
    <row r="40" spans="1:4" x14ac:dyDescent="0.35">
      <c r="A40" s="37">
        <v>46085</v>
      </c>
      <c r="B40" s="13" t="s">
        <v>122</v>
      </c>
      <c r="C40" s="13" t="s">
        <v>98</v>
      </c>
      <c r="D40" s="17">
        <v>50000</v>
      </c>
    </row>
    <row r="41" spans="1:4" x14ac:dyDescent="0.35">
      <c r="A41" s="37">
        <v>46085</v>
      </c>
      <c r="B41" s="13" t="s">
        <v>123</v>
      </c>
      <c r="C41" s="13" t="s">
        <v>98</v>
      </c>
      <c r="D41" s="17">
        <v>489486</v>
      </c>
    </row>
    <row r="42" spans="1:4" x14ac:dyDescent="0.35">
      <c r="A42" s="37">
        <v>46086</v>
      </c>
      <c r="B42" s="13" t="s">
        <v>124</v>
      </c>
      <c r="C42" s="13" t="s">
        <v>98</v>
      </c>
      <c r="D42" s="17">
        <v>1440000</v>
      </c>
    </row>
    <row r="43" spans="1:4" x14ac:dyDescent="0.35">
      <c r="A43" s="37">
        <v>46087</v>
      </c>
      <c r="B43" s="13" t="s">
        <v>125</v>
      </c>
      <c r="C43" s="13" t="s">
        <v>98</v>
      </c>
      <c r="D43" s="17">
        <v>11795000</v>
      </c>
    </row>
    <row r="44" spans="1:4" x14ac:dyDescent="0.35">
      <c r="A44" s="37">
        <v>46087</v>
      </c>
      <c r="B44" s="13" t="s">
        <v>126</v>
      </c>
      <c r="C44" s="13" t="s">
        <v>98</v>
      </c>
      <c r="D44" s="17">
        <v>100000</v>
      </c>
    </row>
    <row r="45" spans="1:4" x14ac:dyDescent="0.35">
      <c r="A45" s="37">
        <v>46087</v>
      </c>
      <c r="B45" s="13" t="s">
        <v>108</v>
      </c>
      <c r="C45" s="13" t="s">
        <v>98</v>
      </c>
      <c r="D45" s="17">
        <v>5000000</v>
      </c>
    </row>
    <row r="46" spans="1:4" x14ac:dyDescent="0.35">
      <c r="A46" s="37">
        <v>46087</v>
      </c>
      <c r="B46" s="13" t="s">
        <v>127</v>
      </c>
      <c r="C46" s="13" t="s">
        <v>98</v>
      </c>
      <c r="D46" s="17">
        <v>1080000</v>
      </c>
    </row>
    <row r="47" spans="1:4" x14ac:dyDescent="0.35">
      <c r="A47" s="38">
        <v>46087</v>
      </c>
      <c r="B47" s="14" t="s">
        <v>83</v>
      </c>
      <c r="C47" s="14" t="s">
        <v>96</v>
      </c>
      <c r="D47" s="19">
        <v>25000000</v>
      </c>
    </row>
    <row r="48" spans="1:4" x14ac:dyDescent="0.35">
      <c r="A48" s="37">
        <v>46091</v>
      </c>
      <c r="B48" s="13" t="s">
        <v>128</v>
      </c>
      <c r="C48" s="13" t="s">
        <v>98</v>
      </c>
      <c r="D48" s="17">
        <v>5000000</v>
      </c>
    </row>
    <row r="49" spans="1:4" x14ac:dyDescent="0.35">
      <c r="A49" s="37">
        <v>46094</v>
      </c>
      <c r="B49" s="13" t="s">
        <v>144</v>
      </c>
      <c r="C49" s="13" t="s">
        <v>98</v>
      </c>
      <c r="D49" s="17">
        <v>500000</v>
      </c>
    </row>
    <row r="50" spans="1:4" x14ac:dyDescent="0.35">
      <c r="A50" s="37">
        <v>46094</v>
      </c>
      <c r="B50" s="13" t="s">
        <v>128</v>
      </c>
      <c r="C50" s="13" t="s">
        <v>98</v>
      </c>
      <c r="D50" s="17">
        <v>1500000</v>
      </c>
    </row>
    <row r="51" spans="1:4" x14ac:dyDescent="0.35">
      <c r="A51" s="37">
        <v>46095</v>
      </c>
      <c r="B51" s="13" t="s">
        <v>145</v>
      </c>
      <c r="C51" s="13" t="s">
        <v>98</v>
      </c>
      <c r="D51" s="17">
        <v>100000</v>
      </c>
    </row>
    <row r="52" spans="1:4" x14ac:dyDescent="0.35">
      <c r="A52" s="37">
        <v>46095</v>
      </c>
      <c r="B52" s="13" t="s">
        <v>129</v>
      </c>
      <c r="C52" s="13" t="s">
        <v>98</v>
      </c>
      <c r="D52" s="17">
        <v>600000</v>
      </c>
    </row>
    <row r="53" spans="1:4" x14ac:dyDescent="0.35">
      <c r="A53" s="37">
        <v>46095</v>
      </c>
      <c r="B53" s="13" t="s">
        <v>130</v>
      </c>
      <c r="C53" s="13" t="s">
        <v>98</v>
      </c>
      <c r="D53" s="17">
        <v>150000</v>
      </c>
    </row>
    <row r="54" spans="1:4" x14ac:dyDescent="0.35">
      <c r="A54" s="37">
        <v>46096</v>
      </c>
      <c r="B54" s="13" t="s">
        <v>131</v>
      </c>
      <c r="C54" s="13" t="s">
        <v>98</v>
      </c>
      <c r="D54" s="17">
        <v>40000</v>
      </c>
    </row>
    <row r="55" spans="1:4" x14ac:dyDescent="0.35">
      <c r="A55" s="37">
        <v>46096</v>
      </c>
      <c r="B55" s="13" t="s">
        <v>132</v>
      </c>
      <c r="C55" s="13" t="s">
        <v>98</v>
      </c>
      <c r="D55" s="17">
        <v>300000</v>
      </c>
    </row>
    <row r="56" spans="1:4" x14ac:dyDescent="0.35">
      <c r="A56" s="37">
        <v>46096</v>
      </c>
      <c r="B56" s="13" t="s">
        <v>133</v>
      </c>
      <c r="C56" s="13" t="s">
        <v>98</v>
      </c>
      <c r="D56" s="17">
        <v>150000</v>
      </c>
    </row>
    <row r="57" spans="1:4" x14ac:dyDescent="0.35">
      <c r="A57" s="37">
        <v>46097</v>
      </c>
      <c r="B57" s="13" t="s">
        <v>144</v>
      </c>
      <c r="C57" s="13" t="s">
        <v>98</v>
      </c>
      <c r="D57" s="17">
        <v>500000</v>
      </c>
    </row>
    <row r="58" spans="1:4" x14ac:dyDescent="0.35">
      <c r="A58" s="37">
        <v>46097</v>
      </c>
      <c r="B58" s="13" t="s">
        <v>144</v>
      </c>
      <c r="C58" s="13" t="s">
        <v>98</v>
      </c>
      <c r="D58" s="17">
        <v>1750000</v>
      </c>
    </row>
    <row r="59" spans="1:4" x14ac:dyDescent="0.35">
      <c r="A59" s="37">
        <v>46097</v>
      </c>
      <c r="B59" s="13" t="s">
        <v>134</v>
      </c>
      <c r="C59" s="13" t="s">
        <v>98</v>
      </c>
      <c r="D59" s="17">
        <v>90000</v>
      </c>
    </row>
    <row r="60" spans="1:4" x14ac:dyDescent="0.35">
      <c r="A60" s="37">
        <v>46097</v>
      </c>
      <c r="B60" s="13" t="s">
        <v>132</v>
      </c>
      <c r="C60" s="13" t="s">
        <v>98</v>
      </c>
      <c r="D60" s="17">
        <v>200000</v>
      </c>
    </row>
    <row r="61" spans="1:4" x14ac:dyDescent="0.35">
      <c r="A61" s="37">
        <v>46097</v>
      </c>
      <c r="B61" s="13" t="s">
        <v>135</v>
      </c>
      <c r="C61" s="13" t="s">
        <v>98</v>
      </c>
      <c r="D61" s="17">
        <v>35000</v>
      </c>
    </row>
    <row r="62" spans="1:4" x14ac:dyDescent="0.35">
      <c r="A62" s="37">
        <v>46098</v>
      </c>
      <c r="B62" s="13" t="s">
        <v>157</v>
      </c>
      <c r="C62" s="13" t="s">
        <v>98</v>
      </c>
      <c r="D62" s="17">
        <v>7000000</v>
      </c>
    </row>
    <row r="63" spans="1:4" x14ac:dyDescent="0.35">
      <c r="A63" s="37">
        <v>46098</v>
      </c>
      <c r="B63" s="13" t="s">
        <v>158</v>
      </c>
      <c r="C63" s="13" t="s">
        <v>98</v>
      </c>
      <c r="D63" s="17">
        <v>50000</v>
      </c>
    </row>
    <row r="64" spans="1:4" x14ac:dyDescent="0.35">
      <c r="A64" s="37">
        <v>46098</v>
      </c>
      <c r="B64" s="13" t="s">
        <v>146</v>
      </c>
      <c r="C64" s="13" t="s">
        <v>98</v>
      </c>
      <c r="D64" s="17">
        <v>263850</v>
      </c>
    </row>
    <row r="65" spans="1:4" x14ac:dyDescent="0.35">
      <c r="A65" s="37">
        <v>46098</v>
      </c>
      <c r="B65" s="13" t="s">
        <v>147</v>
      </c>
      <c r="C65" s="13" t="s">
        <v>98</v>
      </c>
      <c r="D65" s="17">
        <v>500000</v>
      </c>
    </row>
    <row r="66" spans="1:4" x14ac:dyDescent="0.35">
      <c r="A66" s="37">
        <v>46098</v>
      </c>
      <c r="B66" s="13" t="s">
        <v>136</v>
      </c>
      <c r="C66" s="13" t="s">
        <v>98</v>
      </c>
      <c r="D66" s="17">
        <v>250000</v>
      </c>
    </row>
    <row r="67" spans="1:4" x14ac:dyDescent="0.35">
      <c r="A67" s="37">
        <v>46098</v>
      </c>
      <c r="B67" s="13" t="s">
        <v>137</v>
      </c>
      <c r="C67" s="13" t="s">
        <v>98</v>
      </c>
      <c r="D67" s="17">
        <v>28014000</v>
      </c>
    </row>
    <row r="68" spans="1:4" x14ac:dyDescent="0.35">
      <c r="A68" s="38">
        <v>46098</v>
      </c>
      <c r="B68" s="14" t="s">
        <v>83</v>
      </c>
      <c r="C68" s="14" t="s">
        <v>96</v>
      </c>
      <c r="D68" s="19">
        <v>35000000</v>
      </c>
    </row>
    <row r="69" spans="1:4" x14ac:dyDescent="0.35">
      <c r="A69" s="38">
        <v>46098</v>
      </c>
      <c r="B69" s="14" t="s">
        <v>84</v>
      </c>
      <c r="C69" s="14" t="s">
        <v>96</v>
      </c>
      <c r="D69" s="20">
        <v>6000000</v>
      </c>
    </row>
    <row r="70" spans="1:4" x14ac:dyDescent="0.35">
      <c r="A70" s="38">
        <v>46098</v>
      </c>
      <c r="B70" s="14" t="s">
        <v>85</v>
      </c>
      <c r="C70" s="14" t="s">
        <v>96</v>
      </c>
      <c r="D70" s="19">
        <v>7000000</v>
      </c>
    </row>
    <row r="71" spans="1:4" x14ac:dyDescent="0.35">
      <c r="A71" s="37">
        <v>46099</v>
      </c>
      <c r="B71" s="13" t="s">
        <v>138</v>
      </c>
      <c r="C71" s="13" t="s">
        <v>98</v>
      </c>
      <c r="D71" s="17">
        <v>91350</v>
      </c>
    </row>
    <row r="72" spans="1:4" x14ac:dyDescent="0.35">
      <c r="A72" s="37">
        <v>46099</v>
      </c>
      <c r="B72" s="13" t="s">
        <v>139</v>
      </c>
      <c r="C72" s="13" t="s">
        <v>98</v>
      </c>
      <c r="D72" s="17">
        <v>244743</v>
      </c>
    </row>
    <row r="73" spans="1:4" x14ac:dyDescent="0.35">
      <c r="A73" s="37">
        <v>46100</v>
      </c>
      <c r="B73" s="13" t="s">
        <v>145</v>
      </c>
      <c r="C73" s="13" t="s">
        <v>98</v>
      </c>
      <c r="D73" s="17">
        <v>50000</v>
      </c>
    </row>
    <row r="74" spans="1:4" x14ac:dyDescent="0.35">
      <c r="A74" s="37">
        <v>46101</v>
      </c>
      <c r="B74" s="13" t="s">
        <v>145</v>
      </c>
      <c r="C74" s="13" t="s">
        <v>98</v>
      </c>
      <c r="D74" s="17">
        <v>50000</v>
      </c>
    </row>
    <row r="75" spans="1:4" x14ac:dyDescent="0.35">
      <c r="A75" s="37">
        <v>46105</v>
      </c>
      <c r="B75" s="13" t="s">
        <v>159</v>
      </c>
      <c r="C75" s="13" t="s">
        <v>98</v>
      </c>
      <c r="D75" s="17">
        <v>1000000</v>
      </c>
    </row>
    <row r="76" spans="1:4" x14ac:dyDescent="0.35">
      <c r="A76" s="37">
        <v>46106</v>
      </c>
      <c r="B76" s="13" t="s">
        <v>145</v>
      </c>
      <c r="C76" s="13" t="s">
        <v>98</v>
      </c>
      <c r="D76" s="17">
        <v>50000</v>
      </c>
    </row>
    <row r="77" spans="1:4" x14ac:dyDescent="0.35">
      <c r="A77" s="38">
        <v>46108</v>
      </c>
      <c r="B77" s="14" t="s">
        <v>84</v>
      </c>
      <c r="C77" s="14" t="s">
        <v>96</v>
      </c>
      <c r="D77" s="20">
        <v>6000000</v>
      </c>
    </row>
    <row r="78" spans="1:4" x14ac:dyDescent="0.35">
      <c r="A78" s="38">
        <v>46108</v>
      </c>
      <c r="B78" s="14" t="s">
        <v>85</v>
      </c>
      <c r="C78" s="14" t="s">
        <v>96</v>
      </c>
      <c r="D78" s="19">
        <v>7000000</v>
      </c>
    </row>
    <row r="79" spans="1:4" x14ac:dyDescent="0.35">
      <c r="A79" s="37">
        <v>46109</v>
      </c>
      <c r="B79" s="13" t="s">
        <v>148</v>
      </c>
      <c r="C79" s="13" t="s">
        <v>98</v>
      </c>
      <c r="D79" s="17">
        <v>500000</v>
      </c>
    </row>
    <row r="80" spans="1:4" x14ac:dyDescent="0.35">
      <c r="A80" s="37">
        <v>46109</v>
      </c>
      <c r="B80" s="13" t="s">
        <v>145</v>
      </c>
      <c r="C80" s="13" t="s">
        <v>98</v>
      </c>
      <c r="D80" s="17">
        <v>50000</v>
      </c>
    </row>
    <row r="81" spans="1:4" x14ac:dyDescent="0.35">
      <c r="A81" s="37">
        <v>46110</v>
      </c>
      <c r="B81" s="13" t="s">
        <v>160</v>
      </c>
      <c r="C81" s="13" t="s">
        <v>98</v>
      </c>
      <c r="D81" s="17">
        <v>5000000</v>
      </c>
    </row>
    <row r="82" spans="1:4" x14ac:dyDescent="0.35">
      <c r="A82" s="37">
        <v>46110</v>
      </c>
      <c r="B82" s="13" t="s">
        <v>148</v>
      </c>
      <c r="C82" s="13" t="s">
        <v>98</v>
      </c>
      <c r="D82" s="17">
        <v>600000</v>
      </c>
    </row>
    <row r="83" spans="1:4" x14ac:dyDescent="0.35">
      <c r="A83" s="37">
        <v>46110</v>
      </c>
      <c r="B83" s="13" t="s">
        <v>147</v>
      </c>
      <c r="C83" s="13" t="s">
        <v>98</v>
      </c>
      <c r="D83" s="17">
        <v>100000</v>
      </c>
    </row>
    <row r="84" spans="1:4" x14ac:dyDescent="0.35">
      <c r="A84" s="37">
        <v>46110</v>
      </c>
      <c r="B84" s="13" t="s">
        <v>149</v>
      </c>
      <c r="C84" s="13" t="s">
        <v>98</v>
      </c>
      <c r="D84" s="17">
        <v>400000</v>
      </c>
    </row>
    <row r="85" spans="1:4" x14ac:dyDescent="0.35">
      <c r="A85" s="37">
        <v>46110</v>
      </c>
      <c r="B85" s="13" t="s">
        <v>148</v>
      </c>
      <c r="C85" s="13" t="s">
        <v>98</v>
      </c>
      <c r="D85" s="17">
        <v>100000</v>
      </c>
    </row>
    <row r="86" spans="1:4" x14ac:dyDescent="0.35">
      <c r="A86" s="37">
        <v>46111</v>
      </c>
      <c r="B86" s="13" t="s">
        <v>145</v>
      </c>
      <c r="C86" s="13" t="s">
        <v>98</v>
      </c>
      <c r="D86" s="17">
        <v>50000</v>
      </c>
    </row>
    <row r="87" spans="1:4" x14ac:dyDescent="0.35">
      <c r="A87" s="37">
        <v>46111</v>
      </c>
      <c r="B87" s="13" t="s">
        <v>148</v>
      </c>
      <c r="C87" s="13" t="s">
        <v>98</v>
      </c>
      <c r="D87" s="17">
        <v>50000</v>
      </c>
    </row>
    <row r="88" spans="1:4" x14ac:dyDescent="0.35">
      <c r="A88" s="37">
        <v>46111</v>
      </c>
      <c r="B88" s="13" t="s">
        <v>148</v>
      </c>
      <c r="C88" s="13" t="s">
        <v>98</v>
      </c>
      <c r="D88" s="17">
        <v>1250000</v>
      </c>
    </row>
    <row r="89" spans="1:4" x14ac:dyDescent="0.35">
      <c r="A89" s="37">
        <v>46111</v>
      </c>
      <c r="B89" s="13" t="s">
        <v>150</v>
      </c>
      <c r="C89" s="13" t="s">
        <v>98</v>
      </c>
      <c r="D89" s="17">
        <v>62900</v>
      </c>
    </row>
    <row r="90" spans="1:4" x14ac:dyDescent="0.35">
      <c r="A90" s="37">
        <v>46112</v>
      </c>
      <c r="B90" s="13" t="s">
        <v>151</v>
      </c>
      <c r="C90" s="13" t="s">
        <v>98</v>
      </c>
      <c r="D90" s="17">
        <v>510000</v>
      </c>
    </row>
    <row r="91" spans="1:4" x14ac:dyDescent="0.35">
      <c r="A91" s="37">
        <v>46115</v>
      </c>
      <c r="B91" s="13" t="s">
        <v>180</v>
      </c>
      <c r="C91" s="13" t="s">
        <v>98</v>
      </c>
      <c r="D91" s="17">
        <v>400000</v>
      </c>
    </row>
    <row r="92" spans="1:4" x14ac:dyDescent="0.35">
      <c r="A92" s="37">
        <v>46115</v>
      </c>
      <c r="B92" s="13" t="s">
        <v>161</v>
      </c>
      <c r="C92" s="13" t="s">
        <v>98</v>
      </c>
      <c r="D92" s="17">
        <v>12125000</v>
      </c>
    </row>
    <row r="93" spans="1:4" x14ac:dyDescent="0.35">
      <c r="A93" s="38">
        <v>46115</v>
      </c>
      <c r="B93" s="14" t="s">
        <v>85</v>
      </c>
      <c r="C93" s="14" t="s">
        <v>96</v>
      </c>
      <c r="D93" s="19">
        <v>17000000</v>
      </c>
    </row>
    <row r="94" spans="1:4" x14ac:dyDescent="0.35">
      <c r="A94" s="37">
        <v>46116</v>
      </c>
      <c r="B94" s="13" t="s">
        <v>148</v>
      </c>
      <c r="C94" s="13" t="s">
        <v>98</v>
      </c>
      <c r="D94" s="17">
        <v>1650000</v>
      </c>
    </row>
    <row r="95" spans="1:4" x14ac:dyDescent="0.35">
      <c r="A95" s="37">
        <v>46116</v>
      </c>
      <c r="B95" s="13" t="s">
        <v>147</v>
      </c>
      <c r="C95" s="13" t="s">
        <v>98</v>
      </c>
      <c r="D95" s="17">
        <v>50000</v>
      </c>
    </row>
    <row r="96" spans="1:4" x14ac:dyDescent="0.35">
      <c r="A96" s="37">
        <v>46117</v>
      </c>
      <c r="B96" s="13" t="s">
        <v>152</v>
      </c>
      <c r="C96" s="13" t="s">
        <v>98</v>
      </c>
      <c r="D96" s="17">
        <v>2000000</v>
      </c>
    </row>
    <row r="97" spans="1:4" x14ac:dyDescent="0.35">
      <c r="A97" s="38">
        <v>46119</v>
      </c>
      <c r="B97" s="14" t="s">
        <v>85</v>
      </c>
      <c r="C97" s="14" t="s">
        <v>96</v>
      </c>
      <c r="D97" s="19">
        <v>11000000</v>
      </c>
    </row>
    <row r="98" spans="1:4" x14ac:dyDescent="0.35">
      <c r="A98" s="37">
        <v>46120</v>
      </c>
      <c r="B98" s="13" t="s">
        <v>162</v>
      </c>
      <c r="C98" s="13" t="s">
        <v>98</v>
      </c>
      <c r="D98" s="17">
        <v>6000000</v>
      </c>
    </row>
    <row r="99" spans="1:4" x14ac:dyDescent="0.35">
      <c r="A99" s="37">
        <v>46120</v>
      </c>
      <c r="B99" s="13" t="s">
        <v>163</v>
      </c>
      <c r="C99" s="13" t="s">
        <v>98</v>
      </c>
      <c r="D99" s="17">
        <v>6000000</v>
      </c>
    </row>
    <row r="100" spans="1:4" x14ac:dyDescent="0.35">
      <c r="A100" s="37">
        <v>46120</v>
      </c>
      <c r="B100" s="13" t="s">
        <v>145</v>
      </c>
      <c r="C100" s="13" t="s">
        <v>98</v>
      </c>
      <c r="D100" s="17">
        <v>25000</v>
      </c>
    </row>
    <row r="101" spans="1:4" x14ac:dyDescent="0.35">
      <c r="A101" s="37">
        <v>46121</v>
      </c>
      <c r="B101" s="13" t="s">
        <v>101</v>
      </c>
      <c r="C101" s="13" t="s">
        <v>98</v>
      </c>
      <c r="D101" s="17">
        <v>5000000</v>
      </c>
    </row>
    <row r="102" spans="1:4" x14ac:dyDescent="0.35">
      <c r="A102" s="37">
        <v>46121</v>
      </c>
      <c r="B102" s="13" t="s">
        <v>145</v>
      </c>
      <c r="C102" s="13" t="s">
        <v>98</v>
      </c>
      <c r="D102" s="17">
        <v>25000</v>
      </c>
    </row>
    <row r="103" spans="1:4" x14ac:dyDescent="0.35">
      <c r="A103" s="37">
        <v>46122</v>
      </c>
      <c r="B103" s="13" t="s">
        <v>145</v>
      </c>
      <c r="C103" s="13" t="s">
        <v>98</v>
      </c>
      <c r="D103" s="17">
        <v>25000</v>
      </c>
    </row>
    <row r="104" spans="1:4" x14ac:dyDescent="0.35">
      <c r="A104" s="38">
        <v>46122</v>
      </c>
      <c r="B104" s="14" t="s">
        <v>84</v>
      </c>
      <c r="C104" s="14" t="s">
        <v>96</v>
      </c>
      <c r="D104" s="20">
        <v>1500000</v>
      </c>
    </row>
    <row r="105" spans="1:4" x14ac:dyDescent="0.35">
      <c r="A105" s="37">
        <v>46125</v>
      </c>
      <c r="B105" s="13" t="s">
        <v>153</v>
      </c>
      <c r="C105" s="13" t="s">
        <v>98</v>
      </c>
      <c r="D105" s="17">
        <v>200000</v>
      </c>
    </row>
    <row r="106" spans="1:4" x14ac:dyDescent="0.35">
      <c r="A106" s="37">
        <v>46126</v>
      </c>
      <c r="B106" s="13" t="s">
        <v>101</v>
      </c>
      <c r="C106" s="13" t="s">
        <v>98</v>
      </c>
      <c r="D106" s="17">
        <v>1200000</v>
      </c>
    </row>
    <row r="107" spans="1:4" x14ac:dyDescent="0.35">
      <c r="A107" s="37">
        <v>46126</v>
      </c>
      <c r="B107" s="13" t="s">
        <v>164</v>
      </c>
      <c r="C107" s="13" t="s">
        <v>98</v>
      </c>
      <c r="D107" s="17">
        <v>1000000</v>
      </c>
    </row>
    <row r="108" spans="1:4" x14ac:dyDescent="0.35">
      <c r="A108" s="37">
        <v>46126</v>
      </c>
      <c r="B108" s="13" t="s">
        <v>147</v>
      </c>
      <c r="C108" s="13" t="s">
        <v>98</v>
      </c>
      <c r="D108" s="17">
        <v>50000</v>
      </c>
    </row>
    <row r="109" spans="1:4" x14ac:dyDescent="0.35">
      <c r="A109" s="37">
        <v>46126</v>
      </c>
      <c r="B109" s="13" t="s">
        <v>165</v>
      </c>
      <c r="C109" s="13" t="s">
        <v>98</v>
      </c>
      <c r="D109" s="17">
        <v>1500000</v>
      </c>
    </row>
    <row r="110" spans="1:4" x14ac:dyDescent="0.35">
      <c r="A110" s="37">
        <v>46126</v>
      </c>
      <c r="B110" s="13" t="s">
        <v>166</v>
      </c>
      <c r="C110" s="13" t="s">
        <v>98</v>
      </c>
      <c r="D110" s="17">
        <v>38552500</v>
      </c>
    </row>
    <row r="111" spans="1:4" x14ac:dyDescent="0.35">
      <c r="A111" s="37">
        <v>46126</v>
      </c>
      <c r="B111" s="13" t="s">
        <v>167</v>
      </c>
      <c r="C111" s="13" t="s">
        <v>98</v>
      </c>
      <c r="D111" s="17">
        <v>1000000</v>
      </c>
    </row>
    <row r="112" spans="1:4" x14ac:dyDescent="0.35">
      <c r="A112" s="37">
        <v>46126</v>
      </c>
      <c r="B112" s="13" t="s">
        <v>168</v>
      </c>
      <c r="C112" s="13" t="s">
        <v>98</v>
      </c>
      <c r="D112" s="17">
        <v>6000000</v>
      </c>
    </row>
    <row r="113" spans="1:4" x14ac:dyDescent="0.35">
      <c r="A113" s="38">
        <v>46126</v>
      </c>
      <c r="B113" s="14" t="s">
        <v>85</v>
      </c>
      <c r="C113" s="14" t="s">
        <v>96</v>
      </c>
      <c r="D113" s="19">
        <f>31241895+23156288</f>
        <v>54398183</v>
      </c>
    </row>
    <row r="114" spans="1:4" x14ac:dyDescent="0.35">
      <c r="A114" s="37">
        <v>46127</v>
      </c>
      <c r="B114" s="13" t="s">
        <v>169</v>
      </c>
      <c r="C114" s="13" t="s">
        <v>98</v>
      </c>
      <c r="D114" s="17">
        <v>100000</v>
      </c>
    </row>
    <row r="115" spans="1:4" x14ac:dyDescent="0.35">
      <c r="A115" s="37">
        <v>46127</v>
      </c>
      <c r="B115" s="13" t="s">
        <v>169</v>
      </c>
      <c r="C115" s="13" t="s">
        <v>98</v>
      </c>
      <c r="D115" s="17">
        <v>50000</v>
      </c>
    </row>
    <row r="116" spans="1:4" x14ac:dyDescent="0.35">
      <c r="A116" s="37">
        <v>46127</v>
      </c>
      <c r="B116" s="13" t="s">
        <v>169</v>
      </c>
      <c r="C116" s="13" t="s">
        <v>98</v>
      </c>
      <c r="D116" s="17">
        <v>25000</v>
      </c>
    </row>
    <row r="117" spans="1:4" x14ac:dyDescent="0.35">
      <c r="A117" s="37">
        <v>46128</v>
      </c>
      <c r="B117" s="13" t="s">
        <v>101</v>
      </c>
      <c r="C117" s="13" t="s">
        <v>98</v>
      </c>
      <c r="D117" s="17">
        <v>1050000</v>
      </c>
    </row>
    <row r="118" spans="1:4" x14ac:dyDescent="0.35">
      <c r="A118" s="37">
        <v>46128</v>
      </c>
      <c r="B118" s="13" t="s">
        <v>169</v>
      </c>
      <c r="C118" s="13" t="s">
        <v>98</v>
      </c>
      <c r="D118" s="17">
        <v>900000</v>
      </c>
    </row>
    <row r="119" spans="1:4" x14ac:dyDescent="0.35">
      <c r="A119" s="37">
        <v>46128</v>
      </c>
      <c r="B119" s="13" t="s">
        <v>111</v>
      </c>
      <c r="C119" s="13" t="s">
        <v>98</v>
      </c>
      <c r="D119" s="17">
        <v>350000</v>
      </c>
    </row>
    <row r="120" spans="1:4" x14ac:dyDescent="0.35">
      <c r="A120" s="37">
        <v>46128</v>
      </c>
      <c r="B120" s="13" t="s">
        <v>112</v>
      </c>
      <c r="C120" s="13" t="s">
        <v>98</v>
      </c>
      <c r="D120" s="17">
        <v>200000</v>
      </c>
    </row>
    <row r="121" spans="1:4" x14ac:dyDescent="0.35">
      <c r="A121" s="37">
        <v>46128</v>
      </c>
      <c r="B121" s="13" t="s">
        <v>113</v>
      </c>
      <c r="C121" s="13" t="s">
        <v>98</v>
      </c>
      <c r="D121" s="17">
        <v>300000</v>
      </c>
    </row>
    <row r="122" spans="1:4" x14ac:dyDescent="0.35">
      <c r="A122" s="37">
        <v>46128</v>
      </c>
      <c r="B122" s="13" t="s">
        <v>114</v>
      </c>
      <c r="C122" s="13" t="s">
        <v>98</v>
      </c>
      <c r="D122" s="17">
        <v>112000</v>
      </c>
    </row>
    <row r="123" spans="1:4" x14ac:dyDescent="0.35">
      <c r="A123" s="37">
        <v>46129</v>
      </c>
      <c r="B123" s="13" t="s">
        <v>104</v>
      </c>
      <c r="C123" s="13" t="s">
        <v>98</v>
      </c>
      <c r="D123" s="17">
        <v>300000</v>
      </c>
    </row>
    <row r="124" spans="1:4" x14ac:dyDescent="0.35">
      <c r="A124" s="37">
        <v>46129</v>
      </c>
      <c r="B124" s="13" t="s">
        <v>181</v>
      </c>
      <c r="C124" s="13" t="s">
        <v>98</v>
      </c>
      <c r="D124" s="17">
        <v>1500000</v>
      </c>
    </row>
    <row r="125" spans="1:4" x14ac:dyDescent="0.35">
      <c r="A125" s="37">
        <v>46130</v>
      </c>
      <c r="B125" s="13" t="s">
        <v>140</v>
      </c>
      <c r="C125" s="13" t="s">
        <v>98</v>
      </c>
      <c r="D125" s="17">
        <v>500000</v>
      </c>
    </row>
    <row r="126" spans="1:4" x14ac:dyDescent="0.35">
      <c r="A126" s="37">
        <v>46131</v>
      </c>
      <c r="B126" s="13" t="s">
        <v>182</v>
      </c>
      <c r="C126" s="13" t="s">
        <v>98</v>
      </c>
      <c r="D126" s="17">
        <v>400000</v>
      </c>
    </row>
    <row r="127" spans="1:4" x14ac:dyDescent="0.35">
      <c r="A127" s="37">
        <v>46131</v>
      </c>
      <c r="B127" s="13" t="s">
        <v>183</v>
      </c>
      <c r="C127" s="13" t="s">
        <v>98</v>
      </c>
      <c r="D127" s="17">
        <v>244500</v>
      </c>
    </row>
    <row r="128" spans="1:4" x14ac:dyDescent="0.35">
      <c r="A128" s="37">
        <v>46131</v>
      </c>
      <c r="B128" s="13" t="s">
        <v>101</v>
      </c>
      <c r="C128" s="13" t="s">
        <v>98</v>
      </c>
      <c r="D128" s="17">
        <v>750000</v>
      </c>
    </row>
    <row r="129" spans="1:4" x14ac:dyDescent="0.35">
      <c r="A129" s="38">
        <v>46131</v>
      </c>
      <c r="B129" s="14" t="s">
        <v>88</v>
      </c>
      <c r="C129" s="14" t="s">
        <v>96</v>
      </c>
      <c r="D129" s="20">
        <v>14830099</v>
      </c>
    </row>
    <row r="130" spans="1:4" x14ac:dyDescent="0.35">
      <c r="A130" s="37">
        <v>46132</v>
      </c>
      <c r="B130" s="13" t="s">
        <v>101</v>
      </c>
      <c r="C130" s="13" t="s">
        <v>98</v>
      </c>
      <c r="D130" s="17">
        <v>6000000</v>
      </c>
    </row>
    <row r="131" spans="1:4" x14ac:dyDescent="0.35">
      <c r="A131" s="37">
        <v>46132</v>
      </c>
      <c r="B131" s="13" t="s">
        <v>170</v>
      </c>
      <c r="C131" s="13" t="s">
        <v>98</v>
      </c>
      <c r="D131" s="17">
        <v>263850</v>
      </c>
    </row>
    <row r="132" spans="1:4" x14ac:dyDescent="0.35">
      <c r="A132" s="37">
        <v>46132</v>
      </c>
      <c r="B132" s="13" t="s">
        <v>140</v>
      </c>
      <c r="C132" s="13" t="s">
        <v>98</v>
      </c>
      <c r="D132" s="17">
        <v>100000</v>
      </c>
    </row>
    <row r="133" spans="1:4" x14ac:dyDescent="0.35">
      <c r="A133" s="37">
        <v>46133</v>
      </c>
      <c r="B133" s="13" t="s">
        <v>101</v>
      </c>
      <c r="C133" s="13" t="s">
        <v>98</v>
      </c>
      <c r="D133" s="17">
        <v>1000000</v>
      </c>
    </row>
    <row r="134" spans="1:4" x14ac:dyDescent="0.35">
      <c r="A134" s="37">
        <v>46133</v>
      </c>
      <c r="B134" s="13" t="s">
        <v>171</v>
      </c>
      <c r="C134" s="13" t="s">
        <v>98</v>
      </c>
      <c r="D134" s="17">
        <v>3450000</v>
      </c>
    </row>
    <row r="135" spans="1:4" x14ac:dyDescent="0.35">
      <c r="A135" s="37">
        <v>46134</v>
      </c>
      <c r="B135" s="13" t="s">
        <v>101</v>
      </c>
      <c r="C135" s="13" t="s">
        <v>98</v>
      </c>
      <c r="D135" s="17">
        <v>1000000</v>
      </c>
    </row>
    <row r="136" spans="1:4" x14ac:dyDescent="0.35">
      <c r="A136" s="37">
        <v>46134</v>
      </c>
      <c r="B136" s="13" t="s">
        <v>173</v>
      </c>
      <c r="C136" s="13" t="s">
        <v>98</v>
      </c>
      <c r="D136" s="17">
        <v>300000</v>
      </c>
    </row>
    <row r="137" spans="1:4" x14ac:dyDescent="0.35">
      <c r="A137" s="37">
        <v>46134</v>
      </c>
      <c r="B137" s="13" t="s">
        <v>154</v>
      </c>
      <c r="C137" s="13" t="s">
        <v>98</v>
      </c>
      <c r="D137" s="17">
        <v>360000</v>
      </c>
    </row>
    <row r="138" spans="1:4" x14ac:dyDescent="0.35">
      <c r="A138" s="37">
        <v>46134</v>
      </c>
      <c r="B138" s="13" t="s">
        <v>155</v>
      </c>
      <c r="C138" s="13" t="s">
        <v>98</v>
      </c>
      <c r="D138" s="17">
        <v>300000</v>
      </c>
    </row>
    <row r="139" spans="1:4" x14ac:dyDescent="0.35">
      <c r="A139" s="38">
        <v>46135</v>
      </c>
      <c r="B139" s="14" t="s">
        <v>88</v>
      </c>
      <c r="C139" s="14" t="s">
        <v>96</v>
      </c>
      <c r="D139" s="20">
        <v>7415050</v>
      </c>
    </row>
    <row r="140" spans="1:4" x14ac:dyDescent="0.35">
      <c r="A140" s="37">
        <v>46136</v>
      </c>
      <c r="B140" s="13" t="s">
        <v>172</v>
      </c>
      <c r="C140" s="13" t="s">
        <v>98</v>
      </c>
      <c r="D140" s="17">
        <v>300000</v>
      </c>
    </row>
    <row r="141" spans="1:4" x14ac:dyDescent="0.35">
      <c r="A141" s="37">
        <v>46139</v>
      </c>
      <c r="B141" s="13" t="s">
        <v>173</v>
      </c>
      <c r="C141" s="13" t="s">
        <v>98</v>
      </c>
      <c r="D141" s="17">
        <v>1955000</v>
      </c>
    </row>
    <row r="142" spans="1:4" x14ac:dyDescent="0.35">
      <c r="A142" s="37">
        <v>46139</v>
      </c>
      <c r="B142" s="13" t="s">
        <v>173</v>
      </c>
      <c r="C142" s="13" t="s">
        <v>98</v>
      </c>
      <c r="D142" s="17">
        <v>45000</v>
      </c>
    </row>
    <row r="143" spans="1:4" x14ac:dyDescent="0.35">
      <c r="A143" s="37">
        <v>46139</v>
      </c>
      <c r="B143" s="13" t="s">
        <v>172</v>
      </c>
      <c r="C143" s="13" t="s">
        <v>98</v>
      </c>
      <c r="D143" s="17">
        <v>2928750</v>
      </c>
    </row>
    <row r="144" spans="1:4" x14ac:dyDescent="0.35">
      <c r="A144" s="37">
        <v>46139</v>
      </c>
      <c r="B144" s="13" t="s">
        <v>172</v>
      </c>
      <c r="C144" s="13" t="s">
        <v>98</v>
      </c>
      <c r="D144" s="17">
        <v>625000</v>
      </c>
    </row>
    <row r="145" spans="1:4" x14ac:dyDescent="0.35">
      <c r="A145" s="37">
        <v>46141</v>
      </c>
      <c r="B145" s="13" t="s">
        <v>101</v>
      </c>
      <c r="C145" s="13" t="s">
        <v>98</v>
      </c>
      <c r="D145" s="17">
        <v>500000</v>
      </c>
    </row>
    <row r="146" spans="1:4" x14ac:dyDescent="0.35">
      <c r="A146" s="37">
        <v>46141</v>
      </c>
      <c r="B146" s="13" t="s">
        <v>174</v>
      </c>
      <c r="C146" s="13" t="s">
        <v>98</v>
      </c>
      <c r="D146" s="17">
        <v>160000</v>
      </c>
    </row>
    <row r="147" spans="1:4" x14ac:dyDescent="0.35">
      <c r="A147" s="37">
        <v>46142</v>
      </c>
      <c r="B147" s="13" t="s">
        <v>156</v>
      </c>
      <c r="C147" s="13" t="s">
        <v>98</v>
      </c>
      <c r="D147" s="17">
        <v>1500000</v>
      </c>
    </row>
    <row r="148" spans="1:4" x14ac:dyDescent="0.35">
      <c r="A148" s="38">
        <v>46142</v>
      </c>
      <c r="B148" s="14" t="s">
        <v>85</v>
      </c>
      <c r="C148" s="14" t="s">
        <v>96</v>
      </c>
      <c r="D148" s="20">
        <v>26929318.5</v>
      </c>
    </row>
    <row r="149" spans="1:4" x14ac:dyDescent="0.35">
      <c r="A149" s="37">
        <v>46143</v>
      </c>
      <c r="B149" s="13" t="s">
        <v>175</v>
      </c>
      <c r="C149" s="13" t="s">
        <v>98</v>
      </c>
      <c r="D149" s="17">
        <v>300000</v>
      </c>
    </row>
    <row r="150" spans="1:4" x14ac:dyDescent="0.35">
      <c r="A150" s="37">
        <v>46143</v>
      </c>
      <c r="B150" s="13" t="s">
        <v>176</v>
      </c>
      <c r="C150" s="13" t="s">
        <v>98</v>
      </c>
      <c r="D150" s="17">
        <v>10000000</v>
      </c>
    </row>
    <row r="151" spans="1:4" x14ac:dyDescent="0.35">
      <c r="A151" s="37">
        <v>46144</v>
      </c>
      <c r="B151" s="13" t="s">
        <v>174</v>
      </c>
      <c r="C151" s="13" t="s">
        <v>98</v>
      </c>
      <c r="D151" s="17">
        <v>50000</v>
      </c>
    </row>
    <row r="152" spans="1:4" x14ac:dyDescent="0.35">
      <c r="A152" s="37">
        <v>46144</v>
      </c>
      <c r="B152" s="13" t="s">
        <v>177</v>
      </c>
      <c r="C152" s="13" t="s">
        <v>98</v>
      </c>
      <c r="D152" s="17">
        <v>500000</v>
      </c>
    </row>
    <row r="153" spans="1:4" x14ac:dyDescent="0.35">
      <c r="A153" s="37">
        <v>46144</v>
      </c>
      <c r="B153" s="13" t="s">
        <v>177</v>
      </c>
      <c r="C153" s="13" t="s">
        <v>98</v>
      </c>
      <c r="D153" s="17">
        <v>300000</v>
      </c>
    </row>
    <row r="154" spans="1:4" x14ac:dyDescent="0.35">
      <c r="A154" s="37">
        <v>46145</v>
      </c>
      <c r="B154" s="13" t="s">
        <v>177</v>
      </c>
      <c r="C154" s="13" t="s">
        <v>98</v>
      </c>
      <c r="D154" s="17">
        <v>200000</v>
      </c>
    </row>
    <row r="155" spans="1:4" x14ac:dyDescent="0.35">
      <c r="A155" s="37">
        <v>46146</v>
      </c>
      <c r="B155" s="13" t="s">
        <v>177</v>
      </c>
      <c r="C155" s="13" t="s">
        <v>98</v>
      </c>
      <c r="D155" s="17">
        <v>200000</v>
      </c>
    </row>
    <row r="156" spans="1:4" x14ac:dyDescent="0.35">
      <c r="A156" s="37">
        <v>46146</v>
      </c>
      <c r="B156" s="13" t="s">
        <v>141</v>
      </c>
      <c r="C156" s="13" t="s">
        <v>98</v>
      </c>
      <c r="D156" s="17">
        <v>500000</v>
      </c>
    </row>
    <row r="157" spans="1:4" x14ac:dyDescent="0.35">
      <c r="A157" s="37">
        <v>46147</v>
      </c>
      <c r="B157" s="13" t="s">
        <v>107</v>
      </c>
      <c r="C157" s="13" t="s">
        <v>98</v>
      </c>
      <c r="D157" s="17">
        <v>600000</v>
      </c>
    </row>
    <row r="158" spans="1:4" x14ac:dyDescent="0.35">
      <c r="A158" s="37">
        <v>46147</v>
      </c>
      <c r="B158" s="13" t="s">
        <v>162</v>
      </c>
      <c r="C158" s="13" t="s">
        <v>98</v>
      </c>
      <c r="D158" s="17">
        <v>6000000</v>
      </c>
    </row>
    <row r="159" spans="1:4" x14ac:dyDescent="0.35">
      <c r="A159" s="37">
        <v>46148</v>
      </c>
      <c r="B159" s="13" t="s">
        <v>177</v>
      </c>
      <c r="C159" s="13" t="s">
        <v>98</v>
      </c>
      <c r="D159" s="17">
        <v>1500000</v>
      </c>
    </row>
    <row r="160" spans="1:4" x14ac:dyDescent="0.35">
      <c r="A160" s="37">
        <v>46148</v>
      </c>
      <c r="B160" s="13" t="s">
        <v>177</v>
      </c>
      <c r="C160" s="13" t="s">
        <v>98</v>
      </c>
      <c r="D160" s="17">
        <v>625000</v>
      </c>
    </row>
    <row r="161" spans="1:4" x14ac:dyDescent="0.35">
      <c r="A161" s="37">
        <v>46149</v>
      </c>
      <c r="B161" s="13" t="s">
        <v>184</v>
      </c>
      <c r="C161" s="13" t="s">
        <v>98</v>
      </c>
      <c r="D161" s="17">
        <v>700000</v>
      </c>
    </row>
    <row r="162" spans="1:4" x14ac:dyDescent="0.35">
      <c r="A162" s="37">
        <v>46149</v>
      </c>
      <c r="B162" s="13" t="s">
        <v>142</v>
      </c>
      <c r="C162" s="13" t="s">
        <v>98</v>
      </c>
      <c r="D162" s="17">
        <v>400000</v>
      </c>
    </row>
    <row r="163" spans="1:4" x14ac:dyDescent="0.35">
      <c r="A163" s="37">
        <v>46150</v>
      </c>
      <c r="B163" s="13" t="s">
        <v>187</v>
      </c>
      <c r="C163" s="13" t="s">
        <v>98</v>
      </c>
      <c r="D163" s="17">
        <v>263850</v>
      </c>
    </row>
    <row r="164" spans="1:4" x14ac:dyDescent="0.35">
      <c r="A164" s="37">
        <v>46150</v>
      </c>
      <c r="B164" s="13" t="s">
        <v>185</v>
      </c>
      <c r="C164" s="13" t="s">
        <v>98</v>
      </c>
      <c r="D164" s="17">
        <v>600000</v>
      </c>
    </row>
    <row r="165" spans="1:4" x14ac:dyDescent="0.35">
      <c r="A165" s="37">
        <v>46150</v>
      </c>
      <c r="B165" s="13" t="s">
        <v>186</v>
      </c>
      <c r="C165" s="13" t="s">
        <v>98</v>
      </c>
      <c r="D165" s="17">
        <v>500000</v>
      </c>
    </row>
    <row r="166" spans="1:4" x14ac:dyDescent="0.35">
      <c r="A166" s="37">
        <v>46150</v>
      </c>
      <c r="B166" s="13" t="s">
        <v>176</v>
      </c>
      <c r="C166" s="13" t="s">
        <v>98</v>
      </c>
      <c r="D166" s="17">
        <v>50537500</v>
      </c>
    </row>
    <row r="167" spans="1:4" x14ac:dyDescent="0.35">
      <c r="A167" s="38">
        <v>46150</v>
      </c>
      <c r="B167" s="14" t="s">
        <v>85</v>
      </c>
      <c r="C167" s="14" t="s">
        <v>96</v>
      </c>
      <c r="D167" s="20">
        <v>53202190</v>
      </c>
    </row>
    <row r="168" spans="1:4" x14ac:dyDescent="0.35">
      <c r="A168" s="37">
        <v>46152</v>
      </c>
      <c r="B168" s="13" t="s">
        <v>101</v>
      </c>
      <c r="C168" s="13" t="s">
        <v>98</v>
      </c>
      <c r="D168" s="17">
        <v>2000000</v>
      </c>
    </row>
    <row r="169" spans="1:4" x14ac:dyDescent="0.35">
      <c r="A169" s="37">
        <v>46153</v>
      </c>
      <c r="B169" s="13" t="s">
        <v>101</v>
      </c>
      <c r="C169" s="13" t="s">
        <v>98</v>
      </c>
      <c r="D169" s="17">
        <v>4000000</v>
      </c>
    </row>
    <row r="170" spans="1:4" x14ac:dyDescent="0.35">
      <c r="A170" s="37">
        <v>46153</v>
      </c>
      <c r="B170" s="13" t="s">
        <v>178</v>
      </c>
      <c r="C170" s="13" t="s">
        <v>98</v>
      </c>
      <c r="D170" s="17">
        <v>200000</v>
      </c>
    </row>
    <row r="171" spans="1:4" x14ac:dyDescent="0.35">
      <c r="A171" s="38">
        <v>46153</v>
      </c>
      <c r="B171" s="14" t="s">
        <v>86</v>
      </c>
      <c r="C171" s="14" t="s">
        <v>96</v>
      </c>
      <c r="D171" s="20">
        <v>12647432.699999999</v>
      </c>
    </row>
    <row r="172" spans="1:4" x14ac:dyDescent="0.35">
      <c r="A172" s="37">
        <v>46155</v>
      </c>
      <c r="B172" s="13" t="s">
        <v>101</v>
      </c>
      <c r="C172" s="13" t="s">
        <v>98</v>
      </c>
      <c r="D172" s="17">
        <v>1000000</v>
      </c>
    </row>
    <row r="173" spans="1:4" x14ac:dyDescent="0.35">
      <c r="A173" s="37">
        <v>46157</v>
      </c>
      <c r="B173" s="13" t="s">
        <v>179</v>
      </c>
      <c r="C173" s="13" t="s">
        <v>98</v>
      </c>
      <c r="D173" s="17">
        <v>6350000</v>
      </c>
    </row>
    <row r="174" spans="1:4" x14ac:dyDescent="0.35">
      <c r="A174" s="37">
        <v>46158</v>
      </c>
      <c r="B174" s="13" t="s">
        <v>101</v>
      </c>
      <c r="C174" s="13" t="s">
        <v>98</v>
      </c>
      <c r="D174" s="17">
        <v>1000000</v>
      </c>
    </row>
    <row r="175" spans="1:4" x14ac:dyDescent="0.35">
      <c r="A175" s="37">
        <v>46159</v>
      </c>
      <c r="B175" s="13" t="s">
        <v>101</v>
      </c>
      <c r="C175" s="13" t="s">
        <v>98</v>
      </c>
      <c r="D175" s="17">
        <v>500000</v>
      </c>
    </row>
    <row r="176" spans="1:4" x14ac:dyDescent="0.35">
      <c r="A176" s="37">
        <v>46159</v>
      </c>
      <c r="B176" s="13" t="s">
        <v>143</v>
      </c>
      <c r="C176" s="13" t="s">
        <v>98</v>
      </c>
      <c r="D176" s="17">
        <v>250000</v>
      </c>
    </row>
    <row r="177" spans="1:4" x14ac:dyDescent="0.35">
      <c r="A177" s="37">
        <v>46159</v>
      </c>
      <c r="B177" s="13" t="s">
        <v>143</v>
      </c>
      <c r="C177" s="13" t="s">
        <v>98</v>
      </c>
      <c r="D177" s="17">
        <v>850000</v>
      </c>
    </row>
    <row r="178" spans="1:4" x14ac:dyDescent="0.35">
      <c r="A178" s="37">
        <v>46160</v>
      </c>
      <c r="B178" s="13" t="s">
        <v>188</v>
      </c>
      <c r="C178" s="13" t="s">
        <v>98</v>
      </c>
      <c r="D178" s="17">
        <v>240000</v>
      </c>
    </row>
    <row r="179" spans="1:4" x14ac:dyDescent="0.35">
      <c r="A179" s="38">
        <v>46161</v>
      </c>
      <c r="B179" s="14" t="s">
        <v>86</v>
      </c>
      <c r="C179" s="14" t="s">
        <v>96</v>
      </c>
      <c r="D179" s="20">
        <v>12647432.699999999</v>
      </c>
    </row>
    <row r="180" spans="1:4" x14ac:dyDescent="0.35">
      <c r="A180" s="37">
        <v>46162</v>
      </c>
      <c r="B180" s="13" t="s">
        <v>101</v>
      </c>
      <c r="C180" s="13" t="s">
        <v>98</v>
      </c>
      <c r="D180" s="17">
        <v>1500000</v>
      </c>
    </row>
    <row r="181" spans="1:4" x14ac:dyDescent="0.35">
      <c r="A181" s="37">
        <v>46165</v>
      </c>
      <c r="B181" s="13" t="s">
        <v>101</v>
      </c>
      <c r="C181" s="13" t="s">
        <v>98</v>
      </c>
      <c r="D181" s="17">
        <v>500000</v>
      </c>
    </row>
    <row r="182" spans="1:4" x14ac:dyDescent="0.35">
      <c r="A182" s="37">
        <v>46167</v>
      </c>
      <c r="B182" s="13" t="s">
        <v>101</v>
      </c>
      <c r="C182" s="13" t="s">
        <v>98</v>
      </c>
      <c r="D182" s="17">
        <v>4500000</v>
      </c>
    </row>
    <row r="183" spans="1:4" x14ac:dyDescent="0.35">
      <c r="A183" s="38">
        <v>46167</v>
      </c>
      <c r="B183" s="14" t="s">
        <v>86</v>
      </c>
      <c r="C183" s="14" t="s">
        <v>96</v>
      </c>
      <c r="D183" s="20">
        <v>12647432.699999999</v>
      </c>
    </row>
    <row r="184" spans="1:4" x14ac:dyDescent="0.35">
      <c r="A184" s="37">
        <v>46168</v>
      </c>
      <c r="B184" s="13" t="s">
        <v>101</v>
      </c>
      <c r="C184" s="13" t="s">
        <v>98</v>
      </c>
      <c r="D184" s="17">
        <v>3000000</v>
      </c>
    </row>
    <row r="185" spans="1:4" x14ac:dyDescent="0.35">
      <c r="A185" s="37">
        <v>46168</v>
      </c>
      <c r="B185" s="13" t="s">
        <v>189</v>
      </c>
      <c r="C185" s="13" t="s">
        <v>98</v>
      </c>
      <c r="D185" s="17">
        <v>150000</v>
      </c>
    </row>
    <row r="186" spans="1:4" x14ac:dyDescent="0.35">
      <c r="A186" s="37">
        <v>46173</v>
      </c>
      <c r="B186" s="13" t="s">
        <v>101</v>
      </c>
      <c r="C186" s="13" t="s">
        <v>98</v>
      </c>
      <c r="D186" s="17">
        <v>1000000</v>
      </c>
    </row>
    <row r="187" spans="1:4" x14ac:dyDescent="0.35">
      <c r="A187" s="37">
        <v>46175</v>
      </c>
      <c r="B187" s="13" t="s">
        <v>101</v>
      </c>
      <c r="C187" s="13" t="s">
        <v>98</v>
      </c>
      <c r="D187" s="17">
        <v>2000000</v>
      </c>
    </row>
    <row r="188" spans="1:4" x14ac:dyDescent="0.35">
      <c r="A188" s="37">
        <v>46177</v>
      </c>
      <c r="B188" s="13" t="s">
        <v>190</v>
      </c>
      <c r="C188" s="13" t="s">
        <v>98</v>
      </c>
      <c r="D188" s="17">
        <v>250000</v>
      </c>
    </row>
    <row r="189" spans="1:4" x14ac:dyDescent="0.35">
      <c r="A189" s="37">
        <v>46178</v>
      </c>
      <c r="B189" s="13" t="s">
        <v>101</v>
      </c>
      <c r="C189" s="13" t="s">
        <v>98</v>
      </c>
      <c r="D189" s="17">
        <v>1050000</v>
      </c>
    </row>
    <row r="190" spans="1:4" x14ac:dyDescent="0.35">
      <c r="A190" s="37">
        <v>46179</v>
      </c>
      <c r="B190" s="13" t="s">
        <v>101</v>
      </c>
      <c r="C190" s="13" t="s">
        <v>98</v>
      </c>
      <c r="D190" s="17">
        <v>1000000</v>
      </c>
    </row>
    <row r="191" spans="1:4" x14ac:dyDescent="0.35">
      <c r="A191" s="37">
        <v>46182</v>
      </c>
      <c r="B191" s="13" t="s">
        <v>101</v>
      </c>
      <c r="C191" s="13" t="s">
        <v>98</v>
      </c>
      <c r="D191" s="17">
        <v>1000000</v>
      </c>
    </row>
    <row r="192" spans="1:4" x14ac:dyDescent="0.35">
      <c r="A192" s="37">
        <v>46182</v>
      </c>
      <c r="B192" s="13" t="s">
        <v>191</v>
      </c>
      <c r="C192" s="13" t="s">
        <v>98</v>
      </c>
      <c r="D192" s="17">
        <v>133964</v>
      </c>
    </row>
    <row r="193" spans="1:4" x14ac:dyDescent="0.35">
      <c r="A193" s="37">
        <v>46182</v>
      </c>
      <c r="B193" s="13" t="s">
        <v>101</v>
      </c>
      <c r="C193" s="13" t="s">
        <v>98</v>
      </c>
      <c r="D193" s="17">
        <v>500000</v>
      </c>
    </row>
    <row r="194" spans="1:4" x14ac:dyDescent="0.35">
      <c r="A194" s="37">
        <v>46182</v>
      </c>
      <c r="B194" s="13" t="s">
        <v>192</v>
      </c>
      <c r="C194" s="13" t="s">
        <v>98</v>
      </c>
      <c r="D194" s="17">
        <v>263850</v>
      </c>
    </row>
    <row r="195" spans="1:4" x14ac:dyDescent="0.35">
      <c r="A195" s="37">
        <v>46183</v>
      </c>
      <c r="B195" s="13" t="s">
        <v>101</v>
      </c>
      <c r="C195" s="13" t="s">
        <v>98</v>
      </c>
      <c r="D195" s="17">
        <v>300000</v>
      </c>
    </row>
    <row r="196" spans="1:4" x14ac:dyDescent="0.35">
      <c r="A196" s="37">
        <v>46184</v>
      </c>
      <c r="B196" s="13" t="s">
        <v>101</v>
      </c>
      <c r="C196" s="13" t="s">
        <v>98</v>
      </c>
      <c r="D196" s="17">
        <v>1000000</v>
      </c>
    </row>
    <row r="197" spans="1:4" x14ac:dyDescent="0.35">
      <c r="A197" s="37">
        <v>46185</v>
      </c>
      <c r="B197" s="13" t="s">
        <v>193</v>
      </c>
      <c r="C197" s="13" t="s">
        <v>98</v>
      </c>
      <c r="D197" s="17">
        <v>1140000</v>
      </c>
    </row>
    <row r="198" spans="1:4" x14ac:dyDescent="0.35">
      <c r="A198" s="37">
        <v>46185</v>
      </c>
      <c r="B198" s="13" t="s">
        <v>101</v>
      </c>
      <c r="C198" s="13" t="s">
        <v>98</v>
      </c>
      <c r="D198" s="17">
        <v>800000</v>
      </c>
    </row>
    <row r="199" spans="1:4" x14ac:dyDescent="0.35">
      <c r="A199" s="37">
        <v>46185</v>
      </c>
      <c r="B199" s="14" t="s">
        <v>230</v>
      </c>
      <c r="C199" s="13" t="s">
        <v>98</v>
      </c>
      <c r="D199" s="20">
        <v>3000000</v>
      </c>
    </row>
    <row r="200" spans="1:4" x14ac:dyDescent="0.35">
      <c r="A200" s="37">
        <v>46185</v>
      </c>
      <c r="B200" s="13" t="s">
        <v>101</v>
      </c>
      <c r="C200" s="13" t="s">
        <v>98</v>
      </c>
      <c r="D200" s="17">
        <v>500000</v>
      </c>
    </row>
    <row r="201" spans="1:4" x14ac:dyDescent="0.35">
      <c r="A201" s="37">
        <v>46186</v>
      </c>
      <c r="B201" s="13" t="s">
        <v>101</v>
      </c>
      <c r="C201" s="13" t="s">
        <v>98</v>
      </c>
      <c r="D201" s="17">
        <v>1000000</v>
      </c>
    </row>
    <row r="202" spans="1:4" x14ac:dyDescent="0.35">
      <c r="A202" s="37">
        <v>46186</v>
      </c>
      <c r="B202" s="13" t="s">
        <v>101</v>
      </c>
      <c r="C202" s="13" t="s">
        <v>98</v>
      </c>
      <c r="D202" s="17">
        <v>200000</v>
      </c>
    </row>
    <row r="203" spans="1:4" x14ac:dyDescent="0.35">
      <c r="A203" s="37">
        <v>46187</v>
      </c>
      <c r="B203" s="13" t="s">
        <v>101</v>
      </c>
      <c r="C203" s="13" t="s">
        <v>98</v>
      </c>
      <c r="D203" s="17">
        <v>100000</v>
      </c>
    </row>
    <row r="204" spans="1:4" x14ac:dyDescent="0.35">
      <c r="A204" s="37">
        <v>46188</v>
      </c>
      <c r="B204" s="13" t="s">
        <v>101</v>
      </c>
      <c r="C204" s="13" t="s">
        <v>98</v>
      </c>
      <c r="D204" s="17">
        <v>300000</v>
      </c>
    </row>
    <row r="205" spans="1:4" x14ac:dyDescent="0.35">
      <c r="A205" s="37">
        <v>46191</v>
      </c>
      <c r="B205" s="13" t="s">
        <v>101</v>
      </c>
      <c r="C205" s="13" t="s">
        <v>98</v>
      </c>
      <c r="D205" s="17">
        <v>7000000</v>
      </c>
    </row>
    <row r="206" spans="1:4" x14ac:dyDescent="0.35">
      <c r="A206" s="37">
        <v>46196</v>
      </c>
      <c r="B206" s="13" t="s">
        <v>101</v>
      </c>
      <c r="C206" s="13" t="s">
        <v>98</v>
      </c>
      <c r="D206" s="17">
        <v>200000</v>
      </c>
    </row>
    <row r="207" spans="1:4" x14ac:dyDescent="0.35">
      <c r="A207" s="37">
        <v>46196</v>
      </c>
      <c r="B207" s="13" t="s">
        <v>101</v>
      </c>
      <c r="C207" s="13" t="s">
        <v>98</v>
      </c>
      <c r="D207" s="17">
        <v>1327500</v>
      </c>
    </row>
    <row r="208" spans="1:4" x14ac:dyDescent="0.35">
      <c r="A208" s="38">
        <v>46224</v>
      </c>
      <c r="B208" s="14" t="s">
        <v>87</v>
      </c>
      <c r="C208" s="14" t="s">
        <v>96</v>
      </c>
      <c r="D208" s="20">
        <v>1500000</v>
      </c>
    </row>
    <row r="209" spans="1:4" x14ac:dyDescent="0.35">
      <c r="A209" s="38">
        <v>46226</v>
      </c>
      <c r="B209" s="14" t="s">
        <v>194</v>
      </c>
      <c r="C209" s="14" t="s">
        <v>98</v>
      </c>
      <c r="D209" s="20">
        <v>1000000</v>
      </c>
    </row>
    <row r="210" spans="1:4" x14ac:dyDescent="0.35">
      <c r="A210" s="38">
        <v>46226</v>
      </c>
      <c r="B210" s="14" t="s">
        <v>195</v>
      </c>
      <c r="C210" s="14" t="s">
        <v>98</v>
      </c>
      <c r="D210" s="20">
        <v>200000</v>
      </c>
    </row>
    <row r="211" spans="1:4" x14ac:dyDescent="0.35">
      <c r="A211" s="38">
        <v>46230</v>
      </c>
      <c r="B211" s="13" t="s">
        <v>196</v>
      </c>
      <c r="C211" s="14" t="s">
        <v>98</v>
      </c>
      <c r="D211" s="20">
        <v>264850</v>
      </c>
    </row>
    <row r="212" spans="1:4" x14ac:dyDescent="0.35">
      <c r="A212" s="38">
        <v>46239</v>
      </c>
      <c r="B212" s="14" t="s">
        <v>89</v>
      </c>
      <c r="C212" s="14" t="s">
        <v>96</v>
      </c>
      <c r="D212" s="20">
        <v>4919261</v>
      </c>
    </row>
    <row r="213" spans="1:4" x14ac:dyDescent="0.35">
      <c r="A213" s="38">
        <v>46239</v>
      </c>
      <c r="B213" s="14" t="s">
        <v>197</v>
      </c>
      <c r="C213" s="14" t="s">
        <v>98</v>
      </c>
      <c r="D213" s="20">
        <v>500000</v>
      </c>
    </row>
    <row r="214" spans="1:4" x14ac:dyDescent="0.35">
      <c r="A214" s="38">
        <v>46240</v>
      </c>
      <c r="B214" s="14" t="s">
        <v>197</v>
      </c>
      <c r="C214" s="14" t="s">
        <v>98</v>
      </c>
      <c r="D214" s="20">
        <v>600000</v>
      </c>
    </row>
    <row r="215" spans="1:4" x14ac:dyDescent="0.35">
      <c r="A215" s="38">
        <v>46241</v>
      </c>
      <c r="B215" s="14" t="s">
        <v>197</v>
      </c>
      <c r="C215" s="14" t="s">
        <v>98</v>
      </c>
      <c r="D215" s="20">
        <v>200000</v>
      </c>
    </row>
    <row r="216" spans="1:4" x14ac:dyDescent="0.35">
      <c r="A216" s="38">
        <v>46242</v>
      </c>
      <c r="B216" s="14" t="s">
        <v>197</v>
      </c>
      <c r="C216" s="14" t="s">
        <v>98</v>
      </c>
      <c r="D216" s="20">
        <v>1500000</v>
      </c>
    </row>
    <row r="217" spans="1:4" x14ac:dyDescent="0.35">
      <c r="A217" s="38">
        <v>46244</v>
      </c>
      <c r="B217" s="14" t="s">
        <v>198</v>
      </c>
      <c r="C217" s="14" t="s">
        <v>98</v>
      </c>
      <c r="D217" s="20">
        <v>100000</v>
      </c>
    </row>
    <row r="218" spans="1:4" x14ac:dyDescent="0.35">
      <c r="A218" s="38">
        <v>46245</v>
      </c>
      <c r="B218" s="14" t="s">
        <v>197</v>
      </c>
      <c r="C218" s="14" t="s">
        <v>98</v>
      </c>
      <c r="D218" s="20">
        <v>800000</v>
      </c>
    </row>
    <row r="219" spans="1:4" x14ac:dyDescent="0.35">
      <c r="A219" s="39">
        <v>46245</v>
      </c>
      <c r="B219" s="24" t="s">
        <v>198</v>
      </c>
      <c r="C219" s="24" t="s">
        <v>98</v>
      </c>
      <c r="D219" s="25">
        <v>1000000</v>
      </c>
    </row>
    <row r="220" spans="1:4" x14ac:dyDescent="0.35">
      <c r="A220" s="39">
        <v>46255</v>
      </c>
      <c r="B220" s="13" t="s">
        <v>218</v>
      </c>
      <c r="C220" s="24" t="s">
        <v>98</v>
      </c>
      <c r="D220" s="25">
        <v>264850</v>
      </c>
    </row>
    <row r="221" spans="1:4" x14ac:dyDescent="0.35">
      <c r="A221" s="39">
        <v>46261</v>
      </c>
      <c r="B221" s="24" t="s">
        <v>191</v>
      </c>
      <c r="C221" s="24" t="s">
        <v>98</v>
      </c>
      <c r="D221" s="25">
        <v>90764</v>
      </c>
    </row>
    <row r="222" spans="1:4" x14ac:dyDescent="0.35">
      <c r="A222" s="39">
        <v>46266</v>
      </c>
      <c r="B222" s="24" t="s">
        <v>231</v>
      </c>
      <c r="C222" s="24" t="s">
        <v>96</v>
      </c>
      <c r="D222" s="25">
        <v>1600000</v>
      </c>
    </row>
    <row r="223" spans="1:4" x14ac:dyDescent="0.35">
      <c r="A223" s="39">
        <v>46268</v>
      </c>
      <c r="B223" s="24" t="s">
        <v>232</v>
      </c>
      <c r="C223" s="24" t="s">
        <v>98</v>
      </c>
      <c r="D223" s="25">
        <v>500000</v>
      </c>
    </row>
    <row r="224" spans="1:4" x14ac:dyDescent="0.35">
      <c r="A224" s="39">
        <v>46268</v>
      </c>
      <c r="B224" s="24" t="s">
        <v>233</v>
      </c>
      <c r="C224" s="24" t="s">
        <v>98</v>
      </c>
      <c r="D224" s="25">
        <v>100000</v>
      </c>
    </row>
    <row r="225" spans="1:4" x14ac:dyDescent="0.35">
      <c r="A225" s="39">
        <v>46268</v>
      </c>
      <c r="B225" s="24" t="s">
        <v>233</v>
      </c>
      <c r="C225" s="24" t="s">
        <v>98</v>
      </c>
      <c r="D225" s="25">
        <v>370000</v>
      </c>
    </row>
    <row r="226" spans="1:4" x14ac:dyDescent="0.35">
      <c r="A226"/>
      <c r="B226"/>
    </row>
    <row r="227" spans="1:4" x14ac:dyDescent="0.35">
      <c r="A227"/>
      <c r="B227"/>
    </row>
    <row r="228" spans="1:4" x14ac:dyDescent="0.35">
      <c r="A228"/>
      <c r="B228"/>
    </row>
    <row r="229" spans="1:4" x14ac:dyDescent="0.35">
      <c r="A229"/>
      <c r="B229"/>
    </row>
    <row r="230" spans="1:4" x14ac:dyDescent="0.35">
      <c r="A230"/>
      <c r="B230"/>
    </row>
    <row r="231" spans="1:4" x14ac:dyDescent="0.35">
      <c r="A231"/>
      <c r="B231"/>
    </row>
    <row r="232" spans="1:4" x14ac:dyDescent="0.35">
      <c r="A232"/>
      <c r="B232"/>
    </row>
    <row r="233" spans="1:4" x14ac:dyDescent="0.35">
      <c r="A233"/>
      <c r="B233"/>
    </row>
  </sheetData>
  <mergeCells count="7">
    <mergeCell ref="A4:D4"/>
    <mergeCell ref="A5:D5"/>
    <mergeCell ref="A1:D1"/>
    <mergeCell ref="A2:B2"/>
    <mergeCell ref="C2:D2"/>
    <mergeCell ref="A3:B3"/>
    <mergeCell ref="C3:D3"/>
  </mergeCells>
  <dataValidations count="1">
    <dataValidation type="list" allowBlank="1" showInputMessage="1" showErrorMessage="1" sqref="C7:C1048576" xr:uid="{07348F05-BEDA-453B-93B8-70E7C11CB8E5}">
      <formula1>"KAS MASUK"</formula1>
    </dataValidation>
  </dataValidations>
  <pageMargins left="0.7" right="0.7" top="0.75" bottom="0.75" header="0.3" footer="0.3"/>
  <pageSetup paperSize="9" orientation="portrait" horizontalDpi="0" verticalDpi="0" r:id="rId2"/>
  <drawing r:id="rId3"/>
  <tableParts count="1">
    <tablePart r:id="rId4"/>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71411C-DB26-4095-9CA2-4C93476B2A46}">
  <sheetPr>
    <tabColor rgb="FF189843"/>
  </sheetPr>
  <dimension ref="A1:J24"/>
  <sheetViews>
    <sheetView topLeftCell="A4" workbookViewId="0">
      <selection activeCell="B21" sqref="B21"/>
    </sheetView>
  </sheetViews>
  <sheetFormatPr defaultRowHeight="14.5" x14ac:dyDescent="0.35"/>
  <cols>
    <col min="1" max="1" width="12.36328125" bestFit="1" customWidth="1"/>
    <col min="2" max="2" width="14.6328125" bestFit="1" customWidth="1"/>
    <col min="4" max="4" width="12.36328125" bestFit="1" customWidth="1"/>
    <col min="5" max="5" width="11.453125" bestFit="1" customWidth="1"/>
    <col min="8" max="8" width="48.08984375" bestFit="1" customWidth="1"/>
    <col min="9" max="9" width="11.453125" bestFit="1" customWidth="1"/>
    <col min="10" max="10" width="13.1796875" bestFit="1" customWidth="1"/>
    <col min="11" max="16" width="6.36328125" bestFit="1" customWidth="1"/>
    <col min="17" max="44" width="7.36328125" bestFit="1" customWidth="1"/>
    <col min="45" max="70" width="8.90625" bestFit="1" customWidth="1"/>
    <col min="71" max="89" width="9.90625" bestFit="1" customWidth="1"/>
    <col min="90" max="90" width="10.7265625" bestFit="1" customWidth="1"/>
    <col min="91" max="91" width="34.26953125" bestFit="1" customWidth="1"/>
    <col min="92" max="92" width="23.453125" bestFit="1" customWidth="1"/>
    <col min="93" max="93" width="33.81640625" bestFit="1" customWidth="1"/>
    <col min="94" max="94" width="17.36328125" bestFit="1" customWidth="1"/>
    <col min="95" max="95" width="30.08984375" bestFit="1" customWidth="1"/>
    <col min="96" max="96" width="41.7265625" bestFit="1" customWidth="1"/>
    <col min="97" max="98" width="18.36328125" bestFit="1" customWidth="1"/>
    <col min="99" max="99" width="34.36328125" bestFit="1" customWidth="1"/>
    <col min="100" max="100" width="28" bestFit="1" customWidth="1"/>
    <col min="101" max="101" width="39.26953125" bestFit="1" customWidth="1"/>
    <col min="102" max="102" width="39.08984375" bestFit="1" customWidth="1"/>
    <col min="103" max="103" width="37.08984375" bestFit="1" customWidth="1"/>
    <col min="104" max="104" width="34.1796875" bestFit="1" customWidth="1"/>
    <col min="105" max="105" width="28.90625" bestFit="1" customWidth="1"/>
    <col min="106" max="106" width="33.81640625" bestFit="1" customWidth="1"/>
    <col min="107" max="107" width="16.81640625" bestFit="1" customWidth="1"/>
    <col min="108" max="108" width="37.7265625" bestFit="1" customWidth="1"/>
    <col min="109" max="109" width="17.90625" bestFit="1" customWidth="1"/>
    <col min="110" max="110" width="30.1796875" bestFit="1" customWidth="1"/>
    <col min="111" max="111" width="26.54296875" bestFit="1" customWidth="1"/>
    <col min="112" max="113" width="13.81640625" bestFit="1" customWidth="1"/>
    <col min="114" max="114" width="16.1796875" bestFit="1" customWidth="1"/>
    <col min="115" max="115" width="22" bestFit="1" customWidth="1"/>
    <col min="116" max="116" width="17.453125" bestFit="1" customWidth="1"/>
    <col min="117" max="117" width="26.54296875" bestFit="1" customWidth="1"/>
    <col min="118" max="118" width="11.90625" bestFit="1" customWidth="1"/>
    <col min="119" max="119" width="18.54296875" bestFit="1" customWidth="1"/>
    <col min="120" max="120" width="13.1796875" bestFit="1" customWidth="1"/>
  </cols>
  <sheetData>
    <row r="1" spans="1:10" x14ac:dyDescent="0.35">
      <c r="A1" s="4">
        <f ca="1">TODAY()</f>
        <v>46274</v>
      </c>
      <c r="B1" t="str">
        <f ca="1">TEXT(TODAY(),"dddd")</f>
        <v>Wednesday</v>
      </c>
    </row>
    <row r="3" spans="1:10" x14ac:dyDescent="0.35">
      <c r="A3" t="s">
        <v>72</v>
      </c>
      <c r="D3" s="1" t="s">
        <v>91</v>
      </c>
      <c r="E3" t="s">
        <v>72</v>
      </c>
      <c r="H3" s="1" t="s">
        <v>91</v>
      </c>
      <c r="I3" t="s">
        <v>72</v>
      </c>
    </row>
    <row r="4" spans="1:10" x14ac:dyDescent="0.35">
      <c r="A4" s="53">
        <v>759615840</v>
      </c>
      <c r="D4" s="2" t="s">
        <v>77</v>
      </c>
      <c r="E4" s="3">
        <v>75946550</v>
      </c>
      <c r="H4" s="2" t="s">
        <v>40</v>
      </c>
      <c r="I4" s="3">
        <v>35425510</v>
      </c>
    </row>
    <row r="5" spans="1:10" x14ac:dyDescent="0.35">
      <c r="D5" s="2" t="s">
        <v>78</v>
      </c>
      <c r="E5" s="3">
        <v>149414980</v>
      </c>
      <c r="H5" s="2" t="s">
        <v>17</v>
      </c>
      <c r="I5" s="3">
        <v>36184890</v>
      </c>
    </row>
    <row r="6" spans="1:10" x14ac:dyDescent="0.35">
      <c r="A6" t="s">
        <v>229</v>
      </c>
      <c r="D6" s="2" t="s">
        <v>79</v>
      </c>
      <c r="E6" s="3">
        <v>452210100</v>
      </c>
      <c r="H6" s="2" t="s">
        <v>32</v>
      </c>
      <c r="I6" s="3">
        <v>60330170</v>
      </c>
    </row>
    <row r="7" spans="1:10" x14ac:dyDescent="0.35">
      <c r="A7" s="61">
        <v>28</v>
      </c>
      <c r="D7" s="2" t="s">
        <v>80</v>
      </c>
      <c r="E7" s="3">
        <v>12815440</v>
      </c>
      <c r="H7" s="2" t="s">
        <v>14</v>
      </c>
      <c r="I7" s="3">
        <v>61083710</v>
      </c>
    </row>
    <row r="8" spans="1:10" x14ac:dyDescent="0.35">
      <c r="D8" s="2" t="s">
        <v>81</v>
      </c>
      <c r="E8" s="3">
        <v>60330170</v>
      </c>
      <c r="H8" s="2" t="s">
        <v>34</v>
      </c>
      <c r="I8" s="3">
        <v>79695390</v>
      </c>
    </row>
    <row r="9" spans="1:10" x14ac:dyDescent="0.35">
      <c r="A9" t="s">
        <v>229</v>
      </c>
      <c r="D9" s="2" t="s">
        <v>82</v>
      </c>
      <c r="E9" s="3">
        <v>8898600</v>
      </c>
      <c r="H9" s="2" t="s">
        <v>38</v>
      </c>
      <c r="I9" s="3">
        <v>141171910</v>
      </c>
    </row>
    <row r="10" spans="1:10" x14ac:dyDescent="0.35">
      <c r="A10">
        <v>8</v>
      </c>
      <c r="D10" s="2" t="s">
        <v>71</v>
      </c>
      <c r="E10" s="3">
        <v>759615840</v>
      </c>
      <c r="H10" s="2" t="s">
        <v>35</v>
      </c>
      <c r="I10" s="3">
        <v>145297850</v>
      </c>
    </row>
    <row r="11" spans="1:10" x14ac:dyDescent="0.35">
      <c r="H11" s="2" t="s">
        <v>71</v>
      </c>
      <c r="I11" s="3">
        <v>559189430</v>
      </c>
    </row>
    <row r="13" spans="1:10" x14ac:dyDescent="0.35">
      <c r="A13" s="1" t="s">
        <v>91</v>
      </c>
      <c r="B13" t="s">
        <v>94</v>
      </c>
    </row>
    <row r="14" spans="1:10" x14ac:dyDescent="0.35">
      <c r="A14" s="2" t="s">
        <v>96</v>
      </c>
      <c r="B14" s="53">
        <v>381736399.60000002</v>
      </c>
      <c r="D14" s="1" t="s">
        <v>91</v>
      </c>
      <c r="E14" t="s">
        <v>72</v>
      </c>
      <c r="H14" s="1" t="s">
        <v>94</v>
      </c>
      <c r="I14" s="1" t="s">
        <v>93</v>
      </c>
    </row>
    <row r="15" spans="1:10" x14ac:dyDescent="0.35">
      <c r="A15" s="2" t="s">
        <v>71</v>
      </c>
      <c r="B15" s="53">
        <v>381736399.60000002</v>
      </c>
      <c r="D15" s="2" t="s">
        <v>36</v>
      </c>
      <c r="E15" s="36">
        <v>1.1714605635395912E-2</v>
      </c>
      <c r="H15" s="1" t="s">
        <v>91</v>
      </c>
      <c r="I15" t="s">
        <v>96</v>
      </c>
      <c r="J15" t="s">
        <v>71</v>
      </c>
    </row>
    <row r="16" spans="1:10" x14ac:dyDescent="0.35">
      <c r="D16" s="2" t="s">
        <v>19</v>
      </c>
      <c r="E16" s="36">
        <v>0.24026631672135748</v>
      </c>
      <c r="H16" s="2" t="s">
        <v>77</v>
      </c>
      <c r="I16" s="3">
        <v>47500000</v>
      </c>
      <c r="J16" s="3">
        <v>47500000</v>
      </c>
    </row>
    <row r="17" spans="1:10" x14ac:dyDescent="0.35">
      <c r="A17" s="1" t="s">
        <v>91</v>
      </c>
      <c r="B17" t="s">
        <v>72</v>
      </c>
      <c r="D17" s="2" t="s">
        <v>67</v>
      </c>
      <c r="E17" s="36">
        <v>7.218016938667314E-2</v>
      </c>
      <c r="H17" s="2" t="s">
        <v>78</v>
      </c>
      <c r="I17" s="3">
        <v>16000000</v>
      </c>
      <c r="J17" s="3">
        <v>16000000</v>
      </c>
    </row>
    <row r="18" spans="1:10" x14ac:dyDescent="0.35">
      <c r="A18" s="2" t="s">
        <v>11</v>
      </c>
      <c r="B18" s="53">
        <v>75946550</v>
      </c>
      <c r="D18" s="2" t="s">
        <v>69</v>
      </c>
      <c r="E18" s="36">
        <v>0.35415853097534145</v>
      </c>
      <c r="H18" s="2" t="s">
        <v>79</v>
      </c>
      <c r="I18" s="3">
        <v>86000000</v>
      </c>
      <c r="J18" s="3">
        <v>86000000</v>
      </c>
    </row>
    <row r="19" spans="1:10" x14ac:dyDescent="0.35">
      <c r="A19" s="2" t="s">
        <v>71</v>
      </c>
      <c r="B19" s="3">
        <v>75946550</v>
      </c>
      <c r="D19" s="2" t="s">
        <v>9</v>
      </c>
      <c r="E19" s="36">
        <v>7.9421948336411738E-2</v>
      </c>
      <c r="H19" s="2" t="s">
        <v>80</v>
      </c>
      <c r="I19" s="3">
        <v>133072650.5</v>
      </c>
      <c r="J19" s="3">
        <v>133072650.5</v>
      </c>
    </row>
    <row r="20" spans="1:10" x14ac:dyDescent="0.35">
      <c r="D20" s="2" t="s">
        <v>10</v>
      </c>
      <c r="E20" s="36">
        <v>0.1422782205278921</v>
      </c>
      <c r="H20" s="2" t="s">
        <v>81</v>
      </c>
      <c r="I20" s="3">
        <v>91144488.099999994</v>
      </c>
      <c r="J20" s="3">
        <v>91144488.099999994</v>
      </c>
    </row>
    <row r="21" spans="1:10" x14ac:dyDescent="0.35">
      <c r="B21" s="30">
        <f>B18/A4</f>
        <v>9.9980208416928215E-2</v>
      </c>
      <c r="D21" s="2" t="s">
        <v>11</v>
      </c>
      <c r="E21" s="36">
        <v>9.9980208416928215E-2</v>
      </c>
      <c r="H21" s="2" t="s">
        <v>82</v>
      </c>
      <c r="I21" s="3">
        <v>1500000</v>
      </c>
      <c r="J21" s="3">
        <v>1500000</v>
      </c>
    </row>
    <row r="22" spans="1:10" x14ac:dyDescent="0.35">
      <c r="D22" s="2" t="s">
        <v>71</v>
      </c>
      <c r="E22" s="36">
        <v>1</v>
      </c>
      <c r="H22" s="2" t="s">
        <v>92</v>
      </c>
      <c r="I22" s="3">
        <v>4919261</v>
      </c>
      <c r="J22" s="3">
        <v>4919261</v>
      </c>
    </row>
    <row r="23" spans="1:10" x14ac:dyDescent="0.35">
      <c r="H23" s="2" t="s">
        <v>234</v>
      </c>
      <c r="I23" s="3">
        <v>1600000</v>
      </c>
      <c r="J23" s="3">
        <v>1600000</v>
      </c>
    </row>
    <row r="24" spans="1:10" x14ac:dyDescent="0.35">
      <c r="H24" s="2" t="s">
        <v>71</v>
      </c>
      <c r="I24" s="53">
        <v>381736399.60000002</v>
      </c>
      <c r="J24" s="53">
        <v>381736399.60000002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F0FE1E-C8B8-4882-8F51-69A2C7C17325}">
  <sheetPr>
    <tabColor rgb="FFFFFF00"/>
  </sheetPr>
  <dimension ref="A1:G15"/>
  <sheetViews>
    <sheetView workbookViewId="0">
      <selection activeCell="C6" sqref="C6"/>
    </sheetView>
  </sheetViews>
  <sheetFormatPr defaultRowHeight="14.5" x14ac:dyDescent="0.35"/>
  <cols>
    <col min="1" max="1" width="5.7265625" bestFit="1" customWidth="1"/>
    <col min="2" max="2" width="17.54296875" bestFit="1" customWidth="1"/>
    <col min="3" max="3" width="75.90625" bestFit="1" customWidth="1"/>
    <col min="4" max="4" width="35" bestFit="1" customWidth="1"/>
    <col min="5" max="5" width="14.453125" customWidth="1"/>
    <col min="6" max="6" width="12.90625" customWidth="1"/>
    <col min="7" max="7" width="23.81640625" bestFit="1" customWidth="1"/>
  </cols>
  <sheetData>
    <row r="1" spans="1:7" x14ac:dyDescent="0.35">
      <c r="A1" t="s">
        <v>0</v>
      </c>
      <c r="B1" t="s">
        <v>48</v>
      </c>
      <c r="C1" t="s">
        <v>47</v>
      </c>
      <c r="D1" t="s">
        <v>49</v>
      </c>
      <c r="E1" t="s">
        <v>52</v>
      </c>
      <c r="F1" t="s">
        <v>5</v>
      </c>
      <c r="G1" t="s">
        <v>4</v>
      </c>
    </row>
    <row r="2" spans="1:7" x14ac:dyDescent="0.35">
      <c r="A2">
        <v>1</v>
      </c>
      <c r="B2" t="s">
        <v>66</v>
      </c>
      <c r="C2" t="s">
        <v>50</v>
      </c>
      <c r="D2" t="s">
        <v>13</v>
      </c>
      <c r="E2" s="4">
        <v>46045</v>
      </c>
      <c r="F2" s="3">
        <f>SUM('DATA LOP'!H2:H3)</f>
        <v>75946550</v>
      </c>
      <c r="G2" t="s">
        <v>62</v>
      </c>
    </row>
    <row r="3" spans="1:7" x14ac:dyDescent="0.35">
      <c r="A3">
        <v>2</v>
      </c>
      <c r="B3" t="s">
        <v>66</v>
      </c>
      <c r="C3" t="s">
        <v>51</v>
      </c>
      <c r="D3" t="s">
        <v>16</v>
      </c>
      <c r="E3" s="4">
        <v>46090</v>
      </c>
      <c r="F3" s="3">
        <f>SUM('DATA LOP'!H4:H11)</f>
        <v>149414980</v>
      </c>
      <c r="G3" t="s">
        <v>67</v>
      </c>
    </row>
    <row r="4" spans="1:7" x14ac:dyDescent="0.35">
      <c r="A4">
        <v>3</v>
      </c>
      <c r="B4" t="s">
        <v>66</v>
      </c>
      <c r="C4" t="s">
        <v>53</v>
      </c>
      <c r="D4" t="s">
        <v>26</v>
      </c>
      <c r="E4" s="4">
        <v>46132</v>
      </c>
      <c r="F4" s="3">
        <f>SUM('DATA LOP'!H12:H17)</f>
        <v>19403690</v>
      </c>
      <c r="G4" t="s">
        <v>67</v>
      </c>
    </row>
    <row r="5" spans="1:7" x14ac:dyDescent="0.35">
      <c r="A5">
        <v>4</v>
      </c>
      <c r="B5" t="s">
        <v>39</v>
      </c>
      <c r="C5" t="s">
        <v>56</v>
      </c>
      <c r="D5" t="s">
        <v>41</v>
      </c>
      <c r="E5" s="4">
        <v>46136</v>
      </c>
      <c r="F5" s="3">
        <f>'DATA LOP'!H23</f>
        <v>35425510</v>
      </c>
      <c r="G5" t="s">
        <v>67</v>
      </c>
    </row>
    <row r="6" spans="1:7" x14ac:dyDescent="0.35">
      <c r="A6">
        <v>5</v>
      </c>
      <c r="B6" t="s">
        <v>66</v>
      </c>
      <c r="C6" t="s">
        <v>58</v>
      </c>
      <c r="D6" t="s">
        <v>60</v>
      </c>
      <c r="E6" s="4">
        <v>46150</v>
      </c>
      <c r="F6" s="3">
        <f>'DATA LOP'!H18</f>
        <v>60330170</v>
      </c>
      <c r="G6" t="s">
        <v>69</v>
      </c>
    </row>
    <row r="7" spans="1:7" x14ac:dyDescent="0.35">
      <c r="A7">
        <v>6</v>
      </c>
      <c r="B7" t="s">
        <v>55</v>
      </c>
      <c r="C7" t="s">
        <v>54</v>
      </c>
      <c r="D7" t="s">
        <v>59</v>
      </c>
      <c r="E7" s="4">
        <v>46161</v>
      </c>
      <c r="F7" s="3">
        <f>SUM('DATA LOP'!H19:H22)</f>
        <v>383651594</v>
      </c>
      <c r="G7" t="s">
        <v>68</v>
      </c>
    </row>
    <row r="8" spans="1:7" x14ac:dyDescent="0.35">
      <c r="A8">
        <v>7</v>
      </c>
      <c r="B8" t="s">
        <v>42</v>
      </c>
      <c r="C8" t="s">
        <v>57</v>
      </c>
      <c r="D8" t="s">
        <v>65</v>
      </c>
      <c r="E8" s="4">
        <v>46183</v>
      </c>
      <c r="F8" s="3">
        <f>SUM('DATA LOP'!H24:H27)</f>
        <v>14682170</v>
      </c>
      <c r="G8" t="s">
        <v>69</v>
      </c>
    </row>
    <row r="9" spans="1:7" x14ac:dyDescent="0.35">
      <c r="A9">
        <v>8</v>
      </c>
      <c r="B9" t="s">
        <v>66</v>
      </c>
      <c r="C9" t="s">
        <v>73</v>
      </c>
      <c r="D9" t="s">
        <v>74</v>
      </c>
      <c r="E9" s="4" t="s">
        <v>74</v>
      </c>
      <c r="F9" s="3">
        <v>8898600</v>
      </c>
      <c r="G9" t="s">
        <v>36</v>
      </c>
    </row>
    <row r="10" spans="1:7" x14ac:dyDescent="0.35">
      <c r="F10" s="3"/>
    </row>
    <row r="11" spans="1:7" x14ac:dyDescent="0.35">
      <c r="F11" s="3"/>
    </row>
    <row r="12" spans="1:7" x14ac:dyDescent="0.35">
      <c r="F12" s="3"/>
    </row>
    <row r="13" spans="1:7" x14ac:dyDescent="0.35">
      <c r="F13" s="3"/>
    </row>
    <row r="14" spans="1:7" x14ac:dyDescent="0.35">
      <c r="F14" s="3"/>
    </row>
    <row r="15" spans="1:7" x14ac:dyDescent="0.35">
      <c r="F15" s="3"/>
    </row>
  </sheetData>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33BB6591-15B5-4A87-8892-B03F7320D1CA}">
          <x14:formula1>
            <xm:f>'DATA LOP'!$O$2:$O$5</xm:f>
          </x14:formula1>
          <xm:sqref>B2:B14</xm:sqref>
        </x14:dataValidation>
        <x14:dataValidation type="list" allowBlank="1" showInputMessage="1" showErrorMessage="1" xr:uid="{A34BF94F-7904-46F3-B839-E5DB9E6035F3}">
          <x14:formula1>
            <xm:f>'DATA LOP'!$N$2:$N$15</xm:f>
          </x14:formula1>
          <xm:sqref>G2:G18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75D4F0-13DB-4F08-8E2A-8A3D47978FA1}">
  <sheetPr>
    <tabColor rgb="FF00B050"/>
  </sheetPr>
  <dimension ref="A1:O41"/>
  <sheetViews>
    <sheetView showGridLines="0" workbookViewId="0">
      <pane xSplit="3" ySplit="1" topLeftCell="K2" activePane="bottomRight" state="frozen"/>
      <selection pane="topRight" activeCell="D1" sqref="D1"/>
      <selection pane="bottomLeft" activeCell="A2" sqref="A2"/>
      <selection pane="bottomRight" activeCell="R4" sqref="R4"/>
    </sheetView>
  </sheetViews>
  <sheetFormatPr defaultRowHeight="14.5" x14ac:dyDescent="0.35"/>
  <cols>
    <col min="1" max="1" width="5.7265625" style="5" bestFit="1" customWidth="1"/>
    <col min="2" max="2" width="11.6328125" bestFit="1" customWidth="1"/>
    <col min="3" max="3" width="59.36328125" bestFit="1" customWidth="1"/>
    <col min="4" max="4" width="23.54296875" bestFit="1" customWidth="1"/>
    <col min="5" max="5" width="23.81640625" bestFit="1" customWidth="1"/>
    <col min="6" max="6" width="15.6328125" style="6" bestFit="1" customWidth="1"/>
    <col min="7" max="7" width="10.453125" bestFit="1" customWidth="1"/>
    <col min="8" max="8" width="13.1796875" style="6" bestFit="1" customWidth="1"/>
    <col min="9" max="9" width="75.90625" bestFit="1" customWidth="1"/>
    <col min="10" max="10" width="35" bestFit="1" customWidth="1"/>
    <col min="11" max="11" width="21" style="7" bestFit="1" customWidth="1"/>
    <col min="14" max="15" width="8.7265625" hidden="1" customWidth="1"/>
  </cols>
  <sheetData>
    <row r="1" spans="1:15" ht="32.5" customHeight="1" x14ac:dyDescent="0.35">
      <c r="A1" s="8" t="s">
        <v>0</v>
      </c>
      <c r="B1" s="8" t="s">
        <v>1</v>
      </c>
      <c r="C1" s="8" t="s">
        <v>2</v>
      </c>
      <c r="D1" s="8" t="s">
        <v>3</v>
      </c>
      <c r="E1" s="8" t="s">
        <v>4</v>
      </c>
      <c r="F1" s="10" t="s">
        <v>5</v>
      </c>
      <c r="G1" s="8" t="s">
        <v>6</v>
      </c>
      <c r="H1" s="10" t="s">
        <v>7</v>
      </c>
      <c r="I1" s="8" t="s">
        <v>47</v>
      </c>
      <c r="J1" s="8" t="s">
        <v>8</v>
      </c>
      <c r="K1" s="9" t="s">
        <v>70</v>
      </c>
    </row>
    <row r="2" spans="1:15" x14ac:dyDescent="0.35">
      <c r="A2" s="5">
        <v>1</v>
      </c>
      <c r="B2" t="s">
        <v>66</v>
      </c>
      <c r="C2" t="s">
        <v>12</v>
      </c>
      <c r="D2" s="4">
        <v>46031</v>
      </c>
      <c r="E2" t="s">
        <v>11</v>
      </c>
      <c r="F2" s="11">
        <v>14862840</v>
      </c>
      <c r="G2" s="4">
        <v>46032</v>
      </c>
      <c r="H2" s="11">
        <v>14862840</v>
      </c>
      <c r="I2" t="s">
        <v>50</v>
      </c>
      <c r="J2" t="str">
        <f>VLOOKUP(Table1_1[[#This Row],[NAMA PEKERJAAN]],'DATA SP'!$C$2:$G$8,2,0)</f>
        <v>4400047956/HK.810/TA-370002/01.2026</v>
      </c>
      <c r="K2" s="7" t="str">
        <f>IFERROR(IF(AND(E2="PROGRES LAPANGAN"),"20%",IF(AND(E2="DONE INSTALL 100%"),"40%",IF(AND(E2="MENUNGGU JADWAL UT"),50%,IF(AND(E2="PROGRES DOKUMEN CT/UT"),"60%",IF(AND(E2="UJI TERIMA"),"65%",IF(AND(E2="MENUNGGU BOQ UT"),"70%",IF(AND(E2="REKON MATERIAL"),"75%",IF(AND(E2="VERIFIKASI AREA"),"80%",IF(AND(E2="VERIFIKASI REGIONAL"),"85%",IF(AND(E2="BAST"),"90%",IF(AND(E2="INVOICE"),"100","0%"))))))))))),"")</f>
        <v>90%</v>
      </c>
      <c r="N2" t="s">
        <v>6</v>
      </c>
      <c r="O2" t="s">
        <v>42</v>
      </c>
    </row>
    <row r="3" spans="1:15" x14ac:dyDescent="0.35">
      <c r="A3" s="5">
        <v>2</v>
      </c>
      <c r="B3" t="s">
        <v>66</v>
      </c>
      <c r="C3" t="s">
        <v>14</v>
      </c>
      <c r="D3" s="4">
        <v>46031</v>
      </c>
      <c r="E3" t="s">
        <v>11</v>
      </c>
      <c r="F3" s="11">
        <v>61083710</v>
      </c>
      <c r="G3" s="4">
        <v>46032</v>
      </c>
      <c r="H3" s="11">
        <v>61083710</v>
      </c>
      <c r="I3" t="s">
        <v>50</v>
      </c>
      <c r="J3" t="str">
        <f>VLOOKUP(Table1_1[[#This Row],[NAMA PEKERJAAN]],'DATA SP'!$C$2:$G$8,2,0)</f>
        <v>4400047956/HK.810/TA-370002/01.2026</v>
      </c>
      <c r="K3" s="7" t="str">
        <f t="shared" ref="K3:K29" si="0">IFERROR(IF(AND(E3="PROGRES LAPANGAN"),"20%",IF(AND(E3="DONE INSTALL 100%"),"40%",IF(AND(E3="MENUNGGU JADWAL UT"),50%,IF(AND(E3="PROGRES DOKUMEN CT/UT"),"60%",IF(AND(E3="UJI TERIMA"),"65%",IF(AND(E3="MENUNGGU BOQ UT"),"70%",IF(AND(E3="REKON MATERIAL"),"75%",IF(AND(E3="VERIFIKASI AREA"),"80%",IF(AND(E3="VERIFIKASI REGIONAL"),"85%",IF(AND(E3="BAST"),"90%",IF(AND(E3="INVOICE"),"100","0%"))))))))))),"")</f>
        <v>90%</v>
      </c>
      <c r="N3" t="s">
        <v>19</v>
      </c>
      <c r="O3" t="s">
        <v>39</v>
      </c>
    </row>
    <row r="4" spans="1:15" x14ac:dyDescent="0.35">
      <c r="A4" s="5">
        <v>3</v>
      </c>
      <c r="B4" t="s">
        <v>66</v>
      </c>
      <c r="C4" t="s">
        <v>15</v>
      </c>
      <c r="D4" s="4">
        <v>46062</v>
      </c>
      <c r="E4" t="s">
        <v>10</v>
      </c>
      <c r="F4" s="11">
        <v>27112990</v>
      </c>
      <c r="G4" s="4">
        <v>46066</v>
      </c>
      <c r="H4" s="11">
        <v>27112990</v>
      </c>
      <c r="I4" t="s">
        <v>51</v>
      </c>
      <c r="J4" t="str">
        <f>VLOOKUP(Table1_1[[#This Row],[NAMA PEKERJAAN]],'DATA SP'!$C$2:$G$8,2,0)</f>
        <v>4400048812/HK.810/TA-370002/03.2026</v>
      </c>
      <c r="K4" s="7" t="str">
        <f t="shared" si="0"/>
        <v>75%</v>
      </c>
      <c r="N4" t="s">
        <v>33</v>
      </c>
      <c r="O4" t="s">
        <v>66</v>
      </c>
    </row>
    <row r="5" spans="1:15" x14ac:dyDescent="0.35">
      <c r="A5" s="5">
        <v>4</v>
      </c>
      <c r="B5" t="s">
        <v>66</v>
      </c>
      <c r="C5" t="s">
        <v>17</v>
      </c>
      <c r="D5" s="4">
        <v>46062</v>
      </c>
      <c r="E5" t="s">
        <v>10</v>
      </c>
      <c r="F5" s="11">
        <v>36184890</v>
      </c>
      <c r="G5" s="4">
        <v>46066</v>
      </c>
      <c r="H5" s="11">
        <v>36184890</v>
      </c>
      <c r="I5" t="s">
        <v>51</v>
      </c>
      <c r="J5" t="str">
        <f>VLOOKUP(Table1_1[[#This Row],[NAMA PEKERJAAN]],'DATA SP'!$C$2:$G$8,2,0)</f>
        <v>4400048812/HK.810/TA-370002/03.2026</v>
      </c>
      <c r="K5" s="7" t="str">
        <f t="shared" si="0"/>
        <v>75%</v>
      </c>
      <c r="N5" t="s">
        <v>36</v>
      </c>
      <c r="O5" t="s">
        <v>55</v>
      </c>
    </row>
    <row r="6" spans="1:15" x14ac:dyDescent="0.35">
      <c r="A6" s="5">
        <v>5</v>
      </c>
      <c r="B6" t="s">
        <v>66</v>
      </c>
      <c r="C6" t="s">
        <v>18</v>
      </c>
      <c r="D6" s="4">
        <v>46071</v>
      </c>
      <c r="E6" t="s">
        <v>19</v>
      </c>
      <c r="F6" s="11">
        <v>570590</v>
      </c>
      <c r="G6" s="4">
        <v>46071</v>
      </c>
      <c r="H6" s="11">
        <v>570590</v>
      </c>
      <c r="I6" t="s">
        <v>51</v>
      </c>
      <c r="J6" t="str">
        <f>VLOOKUP(Table1_1[[#This Row],[NAMA PEKERJAAN]],'DATA SP'!$C$2:$G$8,2,0)</f>
        <v>4400048812/HK.810/TA-370002/03.2026</v>
      </c>
      <c r="K6" s="7" t="str">
        <f t="shared" si="0"/>
        <v>0%</v>
      </c>
      <c r="N6" t="s">
        <v>69</v>
      </c>
    </row>
    <row r="7" spans="1:15" x14ac:dyDescent="0.35">
      <c r="A7" s="5">
        <v>6</v>
      </c>
      <c r="B7" t="s">
        <v>66</v>
      </c>
      <c r="C7" t="s">
        <v>20</v>
      </c>
      <c r="D7" s="4">
        <v>46071</v>
      </c>
      <c r="E7" t="s">
        <v>10</v>
      </c>
      <c r="F7" s="11">
        <v>6955430</v>
      </c>
      <c r="G7" s="4">
        <v>46071</v>
      </c>
      <c r="H7" s="11">
        <v>6955430</v>
      </c>
      <c r="I7" t="s">
        <v>51</v>
      </c>
      <c r="J7" t="str">
        <f>VLOOKUP(Table1_1[[#This Row],[NAMA PEKERJAAN]],'DATA SP'!$C$2:$G$8,2,0)</f>
        <v>4400048812/HK.810/TA-370002/03.2026</v>
      </c>
      <c r="K7" s="7" t="str">
        <f t="shared" si="0"/>
        <v>75%</v>
      </c>
      <c r="N7" t="s">
        <v>68</v>
      </c>
    </row>
    <row r="8" spans="1:15" x14ac:dyDescent="0.35">
      <c r="A8" s="5">
        <v>7</v>
      </c>
      <c r="B8" t="s">
        <v>66</v>
      </c>
      <c r="C8" t="s">
        <v>21</v>
      </c>
      <c r="D8" s="4">
        <v>46071</v>
      </c>
      <c r="E8" t="s">
        <v>10</v>
      </c>
      <c r="F8" s="11">
        <v>5579410</v>
      </c>
      <c r="G8" s="4">
        <v>46071</v>
      </c>
      <c r="H8" s="11">
        <v>5579410</v>
      </c>
      <c r="I8" t="s">
        <v>51</v>
      </c>
      <c r="J8" t="str">
        <f>VLOOKUP(Table1_1[[#This Row],[NAMA PEKERJAAN]],'DATA SP'!$C$2:$G$8,2,0)</f>
        <v>4400048812/HK.810/TA-370002/03.2026</v>
      </c>
      <c r="K8" s="7" t="str">
        <f t="shared" si="0"/>
        <v>75%</v>
      </c>
      <c r="N8" t="s">
        <v>67</v>
      </c>
    </row>
    <row r="9" spans="1:15" x14ac:dyDescent="0.35">
      <c r="A9" s="5">
        <v>8</v>
      </c>
      <c r="B9" t="s">
        <v>66</v>
      </c>
      <c r="C9" t="s">
        <v>22</v>
      </c>
      <c r="D9" s="4">
        <v>46055</v>
      </c>
      <c r="E9" t="s">
        <v>10</v>
      </c>
      <c r="F9" s="11">
        <v>32244070</v>
      </c>
      <c r="G9" s="4">
        <v>46060</v>
      </c>
      <c r="H9" s="11">
        <v>32244070</v>
      </c>
      <c r="I9" t="s">
        <v>51</v>
      </c>
      <c r="J9" t="str">
        <f>VLOOKUP(Table1_1[[#This Row],[NAMA PEKERJAAN]],'DATA SP'!$C$2:$G$8,2,0)</f>
        <v>4400048812/HK.810/TA-370002/03.2026</v>
      </c>
      <c r="K9" s="7" t="str">
        <f t="shared" si="0"/>
        <v>75%</v>
      </c>
      <c r="N9" t="s">
        <v>9</v>
      </c>
    </row>
    <row r="10" spans="1:15" x14ac:dyDescent="0.35">
      <c r="A10" s="5">
        <v>9</v>
      </c>
      <c r="B10" t="s">
        <v>66</v>
      </c>
      <c r="C10" t="s">
        <v>23</v>
      </c>
      <c r="D10" s="4">
        <v>46058</v>
      </c>
      <c r="E10" t="s">
        <v>19</v>
      </c>
      <c r="F10" s="11">
        <v>6346650</v>
      </c>
      <c r="G10" s="4">
        <v>46063</v>
      </c>
      <c r="H10" s="11">
        <v>6346650</v>
      </c>
      <c r="I10" t="s">
        <v>51</v>
      </c>
      <c r="J10" t="str">
        <f>VLOOKUP(Table1_1[[#This Row],[NAMA PEKERJAAN]],'DATA SP'!$C$2:$G$8,2,0)</f>
        <v>4400048812/HK.810/TA-370002/03.2026</v>
      </c>
      <c r="K10" s="7" t="str">
        <f t="shared" si="0"/>
        <v>0%</v>
      </c>
      <c r="N10" t="s">
        <v>10</v>
      </c>
    </row>
    <row r="11" spans="1:15" x14ac:dyDescent="0.35">
      <c r="A11" s="5">
        <v>10</v>
      </c>
      <c r="B11" t="s">
        <v>66</v>
      </c>
      <c r="C11" t="s">
        <v>24</v>
      </c>
      <c r="D11" s="4">
        <v>46058</v>
      </c>
      <c r="E11" t="s">
        <v>19</v>
      </c>
      <c r="F11" s="11">
        <v>34420950</v>
      </c>
      <c r="G11" s="4">
        <v>46063</v>
      </c>
      <c r="H11" s="11">
        <v>34420950</v>
      </c>
      <c r="I11" t="s">
        <v>51</v>
      </c>
      <c r="J11" t="str">
        <f>VLOOKUP(Table1_1[[#This Row],[NAMA PEKERJAAN]],'DATA SP'!$C$2:$G$8,2,0)</f>
        <v>4400048812/HK.810/TA-370002/03.2026</v>
      </c>
      <c r="K11" s="7" t="str">
        <f t="shared" si="0"/>
        <v>0%</v>
      </c>
      <c r="N11" t="s">
        <v>61</v>
      </c>
    </row>
    <row r="12" spans="1:15" x14ac:dyDescent="0.35">
      <c r="A12" s="5">
        <v>11</v>
      </c>
      <c r="B12" t="s">
        <v>66</v>
      </c>
      <c r="C12" t="s">
        <v>25</v>
      </c>
      <c r="D12" s="4">
        <v>46083</v>
      </c>
      <c r="E12" t="s">
        <v>67</v>
      </c>
      <c r="F12" s="11">
        <v>5275380</v>
      </c>
      <c r="G12" s="4">
        <v>46110</v>
      </c>
      <c r="H12" s="11">
        <v>5275380</v>
      </c>
      <c r="I12" t="s">
        <v>53</v>
      </c>
      <c r="J12" t="str">
        <f>VLOOKUP(Table1_1[[#This Row],[NAMA PEKERJAAN]],'DATA SP'!$C$2:$G$8,2,0)</f>
        <v>4200040829/HK.810/TA-370002/04.2026</v>
      </c>
      <c r="K12" s="7" t="str">
        <f t="shared" si="0"/>
        <v>70%</v>
      </c>
      <c r="N12" t="s">
        <v>62</v>
      </c>
    </row>
    <row r="13" spans="1:15" x14ac:dyDescent="0.35">
      <c r="A13" s="5">
        <v>12</v>
      </c>
      <c r="B13" t="s">
        <v>66</v>
      </c>
      <c r="C13" t="s">
        <v>27</v>
      </c>
      <c r="D13" s="4">
        <v>46083</v>
      </c>
      <c r="E13" t="s">
        <v>67</v>
      </c>
      <c r="F13" s="11">
        <v>680200</v>
      </c>
      <c r="G13" s="4">
        <v>46110</v>
      </c>
      <c r="H13" s="11">
        <v>680200</v>
      </c>
      <c r="I13" t="s">
        <v>53</v>
      </c>
      <c r="J13" t="str">
        <f>VLOOKUP(Table1_1[[#This Row],[NAMA PEKERJAAN]],'DATA SP'!$C$2:$G$8,2,0)</f>
        <v>4200040829/HK.810/TA-370002/04.2026</v>
      </c>
      <c r="K13" s="7" t="str">
        <f t="shared" si="0"/>
        <v>70%</v>
      </c>
      <c r="N13" t="s">
        <v>11</v>
      </c>
    </row>
    <row r="14" spans="1:15" x14ac:dyDescent="0.35">
      <c r="A14" s="5">
        <v>13</v>
      </c>
      <c r="B14" t="s">
        <v>66</v>
      </c>
      <c r="C14" t="s">
        <v>28</v>
      </c>
      <c r="D14" s="4">
        <v>46086</v>
      </c>
      <c r="E14" t="s">
        <v>67</v>
      </c>
      <c r="F14" s="11">
        <v>3834770</v>
      </c>
      <c r="G14" s="4">
        <v>46064</v>
      </c>
      <c r="H14" s="11">
        <v>3834770</v>
      </c>
      <c r="I14" t="s">
        <v>53</v>
      </c>
      <c r="J14" t="str">
        <f>VLOOKUP(Table1_1[[#This Row],[NAMA PEKERJAAN]],'DATA SP'!$C$2:$G$8,2,0)</f>
        <v>4200040829/HK.810/TA-370002/04.2026</v>
      </c>
      <c r="K14" s="7" t="str">
        <f t="shared" si="0"/>
        <v>70%</v>
      </c>
      <c r="N14" t="s">
        <v>63</v>
      </c>
    </row>
    <row r="15" spans="1:15" x14ac:dyDescent="0.35">
      <c r="A15" s="5">
        <v>14</v>
      </c>
      <c r="B15" t="s">
        <v>66</v>
      </c>
      <c r="C15" t="s">
        <v>29</v>
      </c>
      <c r="D15" s="4">
        <v>46086</v>
      </c>
      <c r="E15" t="s">
        <v>67</v>
      </c>
      <c r="F15" s="11">
        <v>437590</v>
      </c>
      <c r="G15" s="4">
        <v>46110</v>
      </c>
      <c r="H15" s="11">
        <v>437590</v>
      </c>
      <c r="I15" t="s">
        <v>53</v>
      </c>
      <c r="J15" t="str">
        <f>VLOOKUP(Table1_1[[#This Row],[NAMA PEKERJAAN]],'DATA SP'!$C$2:$G$8,2,0)</f>
        <v>4200040829/HK.810/TA-370002/04.2026</v>
      </c>
      <c r="K15" s="7" t="str">
        <f t="shared" si="0"/>
        <v>70%</v>
      </c>
      <c r="N15" t="s">
        <v>64</v>
      </c>
    </row>
    <row r="16" spans="1:15" x14ac:dyDescent="0.35">
      <c r="A16" s="5">
        <v>15</v>
      </c>
      <c r="B16" t="s">
        <v>66</v>
      </c>
      <c r="C16" t="s">
        <v>30</v>
      </c>
      <c r="D16" s="4">
        <v>46086</v>
      </c>
      <c r="E16" t="s">
        <v>67</v>
      </c>
      <c r="F16" s="11">
        <v>1917070</v>
      </c>
      <c r="G16" s="4">
        <v>46064</v>
      </c>
      <c r="H16" s="11">
        <v>1917070</v>
      </c>
      <c r="I16" t="s">
        <v>53</v>
      </c>
      <c r="J16" t="str">
        <f>VLOOKUP(Table1_1[[#This Row],[NAMA PEKERJAAN]],'DATA SP'!$C$2:$G$8,2,0)</f>
        <v>4200040829/HK.810/TA-370002/04.2026</v>
      </c>
      <c r="K16" s="7" t="str">
        <f t="shared" si="0"/>
        <v>70%</v>
      </c>
    </row>
    <row r="17" spans="1:11" x14ac:dyDescent="0.35">
      <c r="A17" s="5">
        <v>16</v>
      </c>
      <c r="B17" t="s">
        <v>66</v>
      </c>
      <c r="C17" t="s">
        <v>31</v>
      </c>
      <c r="D17" s="4">
        <v>46097</v>
      </c>
      <c r="E17" t="s">
        <v>67</v>
      </c>
      <c r="F17" s="11">
        <v>7258680</v>
      </c>
      <c r="G17" s="4">
        <v>46097</v>
      </c>
      <c r="H17" s="11">
        <v>7258680</v>
      </c>
      <c r="I17" t="s">
        <v>58</v>
      </c>
      <c r="J17" t="str">
        <f>VLOOKUP(Table1_1[[#This Row],[NAMA PEKERJAAN]],'DATA SP'!$C$2:$G$8,2,0)</f>
        <v>4400050084/HK.810/TA-370002/05.2026</v>
      </c>
      <c r="K17" s="7" t="str">
        <f t="shared" si="0"/>
        <v>70%</v>
      </c>
    </row>
    <row r="18" spans="1:11" x14ac:dyDescent="0.35">
      <c r="A18" s="5">
        <v>17</v>
      </c>
      <c r="B18" t="s">
        <v>66</v>
      </c>
      <c r="C18" t="s">
        <v>32</v>
      </c>
      <c r="D18" s="4">
        <v>46150</v>
      </c>
      <c r="E18" t="s">
        <v>9</v>
      </c>
      <c r="F18" s="11">
        <v>60330170</v>
      </c>
      <c r="G18" s="4">
        <v>46132</v>
      </c>
      <c r="H18" s="11">
        <v>60330170</v>
      </c>
      <c r="I18" t="s">
        <v>54</v>
      </c>
      <c r="J18" t="str">
        <f>VLOOKUP(Table1_1[[#This Row],[NAMA PEKERJAAN]],'DATA SP'!$C$2:$G$8,2,0)</f>
        <v>4400050203/HK.810/TA-370002/05.2026</v>
      </c>
      <c r="K18" s="7" t="str">
        <f t="shared" si="0"/>
        <v>65%</v>
      </c>
    </row>
    <row r="19" spans="1:11" x14ac:dyDescent="0.35">
      <c r="A19" s="5">
        <v>18</v>
      </c>
      <c r="B19" t="s">
        <v>55</v>
      </c>
      <c r="C19" t="s">
        <v>34</v>
      </c>
      <c r="D19" s="4">
        <v>46092</v>
      </c>
      <c r="E19" t="s">
        <v>69</v>
      </c>
      <c r="F19" s="11">
        <v>79695390</v>
      </c>
      <c r="G19" s="4">
        <v>46107</v>
      </c>
      <c r="H19" s="11">
        <v>76276790</v>
      </c>
      <c r="I19" t="s">
        <v>54</v>
      </c>
      <c r="J19" t="str">
        <f>VLOOKUP(Table1_1[[#This Row],[NAMA PEKERJAAN]],'DATA SP'!$C$2:$G$8,2,0)</f>
        <v>4400050203/HK.810/TA-370002/05.2026</v>
      </c>
      <c r="K19" s="7">
        <f t="shared" si="0"/>
        <v>0.5</v>
      </c>
    </row>
    <row r="20" spans="1:11" x14ac:dyDescent="0.35">
      <c r="A20" s="5">
        <v>19</v>
      </c>
      <c r="B20" t="s">
        <v>55</v>
      </c>
      <c r="C20" t="s">
        <v>35</v>
      </c>
      <c r="D20" s="4">
        <v>46092</v>
      </c>
      <c r="E20" t="s">
        <v>69</v>
      </c>
      <c r="F20" s="11">
        <v>145297850</v>
      </c>
      <c r="G20" s="4">
        <v>46108</v>
      </c>
      <c r="H20" s="11">
        <v>135548650</v>
      </c>
      <c r="I20" t="s">
        <v>54</v>
      </c>
      <c r="J20" t="str">
        <f>VLOOKUP(Table1_1[[#This Row],[NAMA PEKERJAAN]],'DATA SP'!$C$2:$G$8,2,0)</f>
        <v>4400050203/HK.810/TA-370002/05.2026</v>
      </c>
      <c r="K20" s="7">
        <f t="shared" si="0"/>
        <v>0.5</v>
      </c>
    </row>
    <row r="21" spans="1:11" x14ac:dyDescent="0.35">
      <c r="A21" s="5">
        <v>20</v>
      </c>
      <c r="B21" t="s">
        <v>55</v>
      </c>
      <c r="C21" t="s">
        <v>37</v>
      </c>
      <c r="D21" s="4">
        <v>46092</v>
      </c>
      <c r="E21" t="s">
        <v>69</v>
      </c>
      <c r="F21" s="11">
        <v>31215750</v>
      </c>
      <c r="G21" s="4">
        <v>46108</v>
      </c>
      <c r="H21" s="11">
        <v>30700350</v>
      </c>
      <c r="I21" t="s">
        <v>54</v>
      </c>
      <c r="J21" t="str">
        <f>VLOOKUP(Table1_1[[#This Row],[NAMA PEKERJAAN]],'DATA SP'!$C$2:$G$8,2,0)</f>
        <v>4400050203/HK.810/TA-370002/05.2026</v>
      </c>
      <c r="K21" s="7">
        <f t="shared" si="0"/>
        <v>0.5</v>
      </c>
    </row>
    <row r="22" spans="1:11" x14ac:dyDescent="0.35">
      <c r="A22" s="5">
        <v>21</v>
      </c>
      <c r="B22" t="s">
        <v>55</v>
      </c>
      <c r="C22" t="s">
        <v>38</v>
      </c>
      <c r="D22" s="4">
        <v>46092</v>
      </c>
      <c r="E22" t="s">
        <v>19</v>
      </c>
      <c r="F22" s="11">
        <v>141171910</v>
      </c>
      <c r="G22" s="4">
        <v>46106</v>
      </c>
      <c r="H22" s="11">
        <v>141125804</v>
      </c>
      <c r="I22" t="s">
        <v>54</v>
      </c>
      <c r="J22" t="str">
        <f>VLOOKUP(Table1_1[[#This Row],[NAMA PEKERJAAN]],'DATA SP'!$C$2:$G$8,2,0)</f>
        <v>4400050203/HK.810/TA-370002/05.2026</v>
      </c>
      <c r="K22" s="7" t="str">
        <f t="shared" si="0"/>
        <v>0%</v>
      </c>
    </row>
    <row r="23" spans="1:11" x14ac:dyDescent="0.35">
      <c r="A23" s="5">
        <v>22</v>
      </c>
      <c r="B23" t="s">
        <v>39</v>
      </c>
      <c r="C23" t="s">
        <v>40</v>
      </c>
      <c r="D23" s="4">
        <v>46107</v>
      </c>
      <c r="E23" t="s">
        <v>67</v>
      </c>
      <c r="F23" s="11">
        <v>35425510</v>
      </c>
      <c r="G23" s="4">
        <v>46110</v>
      </c>
      <c r="H23" s="11">
        <v>35425510</v>
      </c>
      <c r="I23" t="s">
        <v>56</v>
      </c>
      <c r="J23" t="str">
        <f>VLOOKUP(Table1_1[[#This Row],[NAMA PEKERJAAN]],'DATA SP'!$C$2:$G$8,2,0)</f>
        <v>1032/HK-810/TA.0207/04-2026</v>
      </c>
      <c r="K23" s="7" t="str">
        <f t="shared" si="0"/>
        <v>70%</v>
      </c>
    </row>
    <row r="24" spans="1:11" x14ac:dyDescent="0.35">
      <c r="A24" s="5">
        <v>23</v>
      </c>
      <c r="B24" t="s">
        <v>42</v>
      </c>
      <c r="C24" t="s">
        <v>43</v>
      </c>
      <c r="D24" s="4">
        <v>46123</v>
      </c>
      <c r="E24" t="s">
        <v>69</v>
      </c>
      <c r="F24" s="11">
        <v>2729700</v>
      </c>
      <c r="G24" s="4">
        <v>46123</v>
      </c>
      <c r="H24" s="11">
        <v>2288500</v>
      </c>
      <c r="I24" t="s">
        <v>57</v>
      </c>
      <c r="J24" t="str">
        <f>VLOOKUP(Table1_1[[#This Row],[NAMA PEKERJAAN]],'DATA SP'!$C$2:$G$8,2,0)</f>
        <v>4400050523/HK.810/TA-370002/06.2026</v>
      </c>
      <c r="K24" s="7">
        <f t="shared" si="0"/>
        <v>0.5</v>
      </c>
    </row>
    <row r="25" spans="1:11" x14ac:dyDescent="0.35">
      <c r="A25" s="5">
        <v>24</v>
      </c>
      <c r="B25" t="s">
        <v>42</v>
      </c>
      <c r="C25" t="s">
        <v>44</v>
      </c>
      <c r="D25" s="4">
        <v>46123</v>
      </c>
      <c r="E25" t="s">
        <v>69</v>
      </c>
      <c r="F25" s="11">
        <v>7238240</v>
      </c>
      <c r="G25" s="4">
        <v>46123</v>
      </c>
      <c r="H25" s="11">
        <v>6956400</v>
      </c>
      <c r="I25" t="s">
        <v>57</v>
      </c>
      <c r="J25" t="str">
        <f>VLOOKUP(Table1_1[[#This Row],[NAMA PEKERJAAN]],'DATA SP'!$C$2:$G$8,2,0)</f>
        <v>4400050523/HK.810/TA-370002/06.2026</v>
      </c>
      <c r="K25" s="7">
        <f t="shared" si="0"/>
        <v>0.5</v>
      </c>
    </row>
    <row r="26" spans="1:11" x14ac:dyDescent="0.35">
      <c r="A26" s="5">
        <v>25</v>
      </c>
      <c r="B26" t="s">
        <v>42</v>
      </c>
      <c r="C26" t="s">
        <v>45</v>
      </c>
      <c r="D26" s="4">
        <v>46136</v>
      </c>
      <c r="E26" t="s">
        <v>69</v>
      </c>
      <c r="F26" s="11">
        <v>278300</v>
      </c>
      <c r="G26" s="4">
        <v>46136</v>
      </c>
      <c r="H26" s="11">
        <v>593230</v>
      </c>
      <c r="I26" t="s">
        <v>57</v>
      </c>
      <c r="J26" t="str">
        <f>VLOOKUP(Table1_1[[#This Row],[NAMA PEKERJAAN]],'DATA SP'!$C$2:$G$8,2,0)</f>
        <v>4400050523/HK.810/TA-370002/06.2026</v>
      </c>
      <c r="K26" s="7">
        <f t="shared" si="0"/>
        <v>0.5</v>
      </c>
    </row>
    <row r="27" spans="1:11" x14ac:dyDescent="0.35">
      <c r="A27" s="5">
        <v>26</v>
      </c>
      <c r="B27" t="s">
        <v>42</v>
      </c>
      <c r="C27" t="s">
        <v>46</v>
      </c>
      <c r="D27" s="4">
        <v>46141</v>
      </c>
      <c r="E27" t="s">
        <v>69</v>
      </c>
      <c r="F27" s="11">
        <v>2569200</v>
      </c>
      <c r="G27" s="4">
        <v>46141</v>
      </c>
      <c r="H27" s="11">
        <v>4844040</v>
      </c>
      <c r="I27" t="s">
        <v>57</v>
      </c>
      <c r="J27" t="str">
        <f>VLOOKUP(Table1_1[[#This Row],[NAMA PEKERJAAN]],'DATA SP'!$C$2:$G$8,2,0)</f>
        <v>4400050523/HK.810/TA-370002/06.2026</v>
      </c>
      <c r="K27" s="7">
        <f t="shared" si="0"/>
        <v>0.5</v>
      </c>
    </row>
    <row r="28" spans="1:11" x14ac:dyDescent="0.35">
      <c r="A28" s="5">
        <v>27</v>
      </c>
      <c r="B28" t="s">
        <v>66</v>
      </c>
      <c r="C28" t="s">
        <v>75</v>
      </c>
      <c r="D28" s="4">
        <v>46230</v>
      </c>
      <c r="E28" t="s">
        <v>36</v>
      </c>
      <c r="F28" s="11">
        <v>4226100</v>
      </c>
      <c r="G28" s="4">
        <v>46230</v>
      </c>
      <c r="H28" s="11">
        <v>4226100</v>
      </c>
      <c r="I28" t="s">
        <v>73</v>
      </c>
      <c r="J28" t="s">
        <v>74</v>
      </c>
      <c r="K28" s="7" t="str">
        <f t="shared" si="0"/>
        <v>40%</v>
      </c>
    </row>
    <row r="29" spans="1:11" x14ac:dyDescent="0.35">
      <c r="A29" s="5">
        <v>28</v>
      </c>
      <c r="B29" t="s">
        <v>66</v>
      </c>
      <c r="C29" t="s">
        <v>76</v>
      </c>
      <c r="D29" s="4">
        <v>46230</v>
      </c>
      <c r="E29" t="s">
        <v>36</v>
      </c>
      <c r="F29" s="11">
        <v>4672500</v>
      </c>
      <c r="G29" s="4">
        <v>46230</v>
      </c>
      <c r="H29" s="11">
        <v>4672500</v>
      </c>
      <c r="I29" t="s">
        <v>73</v>
      </c>
      <c r="J29" t="s">
        <v>74</v>
      </c>
      <c r="K29" s="7" t="str">
        <f t="shared" si="0"/>
        <v>40%</v>
      </c>
    </row>
    <row r="30" spans="1:11" x14ac:dyDescent="0.35">
      <c r="F30" s="11"/>
      <c r="H30" s="11"/>
    </row>
    <row r="31" spans="1:11" x14ac:dyDescent="0.35">
      <c r="F31" s="11"/>
      <c r="H31" s="11"/>
    </row>
    <row r="32" spans="1:11" x14ac:dyDescent="0.35">
      <c r="F32" s="11"/>
      <c r="H32" s="11"/>
    </row>
    <row r="33" spans="6:8" x14ac:dyDescent="0.35">
      <c r="F33" s="11"/>
      <c r="H33" s="11"/>
    </row>
    <row r="34" spans="6:8" x14ac:dyDescent="0.35">
      <c r="F34" s="11"/>
      <c r="H34" s="11"/>
    </row>
    <row r="35" spans="6:8" x14ac:dyDescent="0.35">
      <c r="F35" s="11"/>
      <c r="H35" s="11"/>
    </row>
    <row r="36" spans="6:8" x14ac:dyDescent="0.35">
      <c r="F36" s="11"/>
      <c r="H36" s="11"/>
    </row>
    <row r="37" spans="6:8" x14ac:dyDescent="0.35">
      <c r="F37" s="11"/>
      <c r="H37" s="11"/>
    </row>
    <row r="38" spans="6:8" x14ac:dyDescent="0.35">
      <c r="F38" s="11"/>
      <c r="H38" s="11"/>
    </row>
    <row r="39" spans="6:8" x14ac:dyDescent="0.35">
      <c r="H39" s="11"/>
    </row>
    <row r="40" spans="6:8" x14ac:dyDescent="0.35">
      <c r="H40" s="11"/>
    </row>
    <row r="41" spans="6:8" x14ac:dyDescent="0.35">
      <c r="H41" s="11"/>
    </row>
  </sheetData>
  <conditionalFormatting sqref="E1:E1048576">
    <cfRule type="containsText" dxfId="31" priority="3" operator="containsText" text="DROP">
      <formula>NOT(ISERROR(SEARCH("DROP",E1)))</formula>
    </cfRule>
  </conditionalFormatting>
  <dataValidations count="3">
    <dataValidation type="list" allowBlank="1" showInputMessage="1" showErrorMessage="1" sqref="E2:E29" xr:uid="{FDE3A6D7-48FA-41F6-B1B8-B5242AE91F6A}">
      <formula1>$N$2:$N$15</formula1>
    </dataValidation>
    <dataValidation type="list" allowBlank="1" showInputMessage="1" showErrorMessage="1" sqref="I35:I39" xr:uid="{46A0904D-284E-45B0-9C38-5A47C9043B29}">
      <formula1>#REF!</formula1>
    </dataValidation>
    <dataValidation type="list" allowBlank="1" showInputMessage="1" showErrorMessage="1" sqref="B2:B91" xr:uid="{05B87899-1029-4E18-B02F-A39AA465AA7C}">
      <formula1>$O$2:$O$5</formula1>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0C1BFDBD-4621-4ABF-B645-4E463C85F97A}">
          <x14:formula1>
            <xm:f>'DATA SP'!$C$2:$C$9</xm:f>
          </x14:formula1>
          <xm:sqref>I2:I34</xm:sqref>
        </x14:dataValidation>
        <x14:dataValidation type="list" allowBlank="1" showInputMessage="1" showErrorMessage="1" xr:uid="{9E1377D7-A9BB-4703-AC41-D0D889676A4F}">
          <x14:formula1>
            <xm:f>'DATA SP'!$D$2:$D$9</xm:f>
          </x14:formula1>
          <xm:sqref>J28:J29</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3D04B3-13EC-461D-B884-CB0548F82D24}">
  <sheetPr>
    <tabColor rgb="FFFF0000"/>
  </sheetPr>
  <dimension ref="B1:BT36"/>
  <sheetViews>
    <sheetView showGridLines="0" topLeftCell="A10" zoomScale="60" zoomScaleNormal="60" workbookViewId="0">
      <selection activeCell="BO8" sqref="BO8"/>
    </sheetView>
  </sheetViews>
  <sheetFormatPr defaultRowHeight="14.5" x14ac:dyDescent="0.35"/>
  <cols>
    <col min="1" max="1" width="75.90625" bestFit="1" customWidth="1"/>
    <col min="2" max="2" width="14" bestFit="1" customWidth="1"/>
    <col min="3" max="3" width="18.1796875" bestFit="1" customWidth="1"/>
    <col min="12" max="12" width="9.453125" bestFit="1" customWidth="1"/>
    <col min="13" max="13" width="21.90625" bestFit="1" customWidth="1"/>
    <col min="14" max="14" width="38.26953125" bestFit="1" customWidth="1"/>
    <col min="15" max="15" width="35.90625" bestFit="1" customWidth="1"/>
    <col min="16" max="16" width="15" bestFit="1" customWidth="1"/>
    <col min="17" max="17" width="15.6328125" bestFit="1" customWidth="1"/>
    <col min="18" max="18" width="14.1796875" bestFit="1" customWidth="1"/>
    <col min="19" max="19" width="16.81640625" bestFit="1" customWidth="1"/>
    <col min="20" max="20" width="13.36328125" bestFit="1" customWidth="1"/>
    <col min="21" max="21" width="13.7265625" bestFit="1" customWidth="1"/>
    <col min="58" max="58" width="37.54296875" bestFit="1" customWidth="1"/>
    <col min="59" max="59" width="15.81640625" bestFit="1" customWidth="1"/>
    <col min="62" max="62" width="25.81640625" bestFit="1" customWidth="1"/>
    <col min="63" max="63" width="18.1796875" bestFit="1" customWidth="1"/>
    <col min="64" max="64" width="14.54296875" bestFit="1" customWidth="1"/>
    <col min="66" max="66" width="18.1796875" bestFit="1" customWidth="1"/>
    <col min="67" max="67" width="37.54296875" bestFit="1" customWidth="1"/>
    <col min="68" max="68" width="29.90625" bestFit="1" customWidth="1"/>
    <col min="70" max="70" width="14" bestFit="1" customWidth="1"/>
    <col min="71" max="71" width="25.81640625" bestFit="1" customWidth="1"/>
    <col min="72" max="72" width="14.54296875" bestFit="1" customWidth="1"/>
    <col min="73" max="73" width="27.36328125" bestFit="1" customWidth="1"/>
    <col min="75" max="75" width="13.36328125" bestFit="1" customWidth="1"/>
    <col min="76" max="76" width="27.36328125" bestFit="1" customWidth="1"/>
    <col min="77" max="77" width="15.1796875" bestFit="1" customWidth="1"/>
    <col min="78" max="78" width="16.36328125" bestFit="1" customWidth="1"/>
    <col min="79" max="79" width="15.1796875" bestFit="1" customWidth="1"/>
    <col min="80" max="80" width="27.36328125" bestFit="1" customWidth="1"/>
    <col min="84" max="84" width="77.26953125" bestFit="1" customWidth="1"/>
    <col min="85" max="85" width="31.81640625" bestFit="1" customWidth="1"/>
    <col min="90" max="90" width="77.26953125" bestFit="1" customWidth="1"/>
    <col min="91" max="91" width="19.1796875" bestFit="1" customWidth="1"/>
    <col min="92" max="92" width="18.1796875" bestFit="1" customWidth="1"/>
  </cols>
  <sheetData>
    <row r="1" spans="12:72" ht="44" thickBot="1" x14ac:dyDescent="0.4">
      <c r="L1" s="42" t="s">
        <v>0</v>
      </c>
      <c r="M1" s="42" t="s">
        <v>48</v>
      </c>
      <c r="N1" s="42" t="s">
        <v>47</v>
      </c>
      <c r="O1" s="42" t="s">
        <v>49</v>
      </c>
      <c r="P1" s="42" t="s">
        <v>52</v>
      </c>
      <c r="Q1" s="42" t="s">
        <v>219</v>
      </c>
      <c r="R1" s="42" t="s">
        <v>200</v>
      </c>
      <c r="S1" s="43" t="s">
        <v>201</v>
      </c>
      <c r="T1" s="43" t="s">
        <v>204</v>
      </c>
      <c r="U1" s="44" t="s">
        <v>205</v>
      </c>
      <c r="BN1" s="30"/>
    </row>
    <row r="2" spans="12:72" x14ac:dyDescent="0.35">
      <c r="L2" s="40">
        <v>1</v>
      </c>
      <c r="M2" s="40" t="s">
        <v>66</v>
      </c>
      <c r="N2" s="40" t="s">
        <v>221</v>
      </c>
      <c r="O2" s="40" t="s">
        <v>13</v>
      </c>
      <c r="P2" s="45">
        <v>46045</v>
      </c>
      <c r="Q2" s="46">
        <v>79279120</v>
      </c>
      <c r="R2" s="46">
        <f>Table3__22[[#This Row],[NILAI BOQ]]*0.7</f>
        <v>55664399</v>
      </c>
      <c r="S2" s="46">
        <v>53000000</v>
      </c>
      <c r="T2" s="47">
        <f>Table3__22[[#This Row],[REALISASI ANGGARAN]]/Table3__22[[#This Row],[BUDGET ]]</f>
        <v>0.95213459503982067</v>
      </c>
      <c r="U2" s="48">
        <f>Table3__22[[#This Row],[BUDGET ]]-Table3__22[[#This Row],[REALISASI ANGGARAN]]</f>
        <v>2664399</v>
      </c>
      <c r="BF2" s="1" t="s">
        <v>91</v>
      </c>
      <c r="BG2" t="s">
        <v>220</v>
      </c>
      <c r="BJ2" s="1" t="s">
        <v>91</v>
      </c>
      <c r="BK2" t="s">
        <v>211</v>
      </c>
      <c r="BL2" t="s">
        <v>209</v>
      </c>
      <c r="BO2" s="1" t="s">
        <v>91</v>
      </c>
      <c r="BP2" t="s">
        <v>210</v>
      </c>
      <c r="BR2" s="1" t="s">
        <v>91</v>
      </c>
      <c r="BS2" t="s">
        <v>211</v>
      </c>
      <c r="BT2" t="s">
        <v>209</v>
      </c>
    </row>
    <row r="3" spans="12:72" x14ac:dyDescent="0.35">
      <c r="L3" s="41">
        <v>2</v>
      </c>
      <c r="M3" s="41" t="s">
        <v>66</v>
      </c>
      <c r="N3" s="41" t="s">
        <v>222</v>
      </c>
      <c r="O3" s="41" t="s">
        <v>16</v>
      </c>
      <c r="P3" s="49">
        <v>46090</v>
      </c>
      <c r="Q3" s="50">
        <v>110798180</v>
      </c>
      <c r="R3" s="50">
        <f>Table3__22[[#This Row],[NILAI BOQ]]*0.7</f>
        <v>77558726</v>
      </c>
      <c r="S3" s="50">
        <v>72000000</v>
      </c>
      <c r="T3" s="51">
        <f>Table3__22[[#This Row],[REALISASI ANGGARAN]]/Table3__22[[#This Row],[BUDGET ]]</f>
        <v>0.9283288124149951</v>
      </c>
      <c r="U3" s="52">
        <f>Table3__22[[#This Row],[BUDGET ]]-Table3__22[[#This Row],[REALISASI ANGGARAN]]</f>
        <v>5558726</v>
      </c>
      <c r="BF3" s="2" t="s">
        <v>221</v>
      </c>
      <c r="BG3" s="3">
        <v>79279120</v>
      </c>
      <c r="BJ3" s="2" t="s">
        <v>42</v>
      </c>
      <c r="BK3" s="3">
        <v>8463750</v>
      </c>
      <c r="BL3" s="3">
        <v>10277519</v>
      </c>
      <c r="BO3" s="2" t="s">
        <v>226</v>
      </c>
      <c r="BP3" s="36">
        <v>1.0596693092415364</v>
      </c>
      <c r="BR3" s="2" t="s">
        <v>77</v>
      </c>
      <c r="BS3" s="3">
        <v>53000000</v>
      </c>
      <c r="BT3" s="3">
        <v>55495384</v>
      </c>
    </row>
    <row r="4" spans="12:72" x14ac:dyDescent="0.35">
      <c r="L4" s="40">
        <v>3</v>
      </c>
      <c r="M4" s="40" t="s">
        <v>66</v>
      </c>
      <c r="N4" s="40" t="s">
        <v>223</v>
      </c>
      <c r="O4" s="40" t="s">
        <v>26</v>
      </c>
      <c r="P4" s="45">
        <v>46132</v>
      </c>
      <c r="Q4" s="46">
        <v>23353370</v>
      </c>
      <c r="R4" s="46">
        <f>Table3__22[[#This Row],[NILAI BOQ]]*0.7</f>
        <v>16347358.999999998</v>
      </c>
      <c r="S4" s="46">
        <v>15100000</v>
      </c>
      <c r="T4" s="47">
        <f>Table3__22[[#This Row],[REALISASI ANGGARAN]]/Table3__22[[#This Row],[BUDGET ]]</f>
        <v>0.9236966044484618</v>
      </c>
      <c r="U4" s="48">
        <f>Table3__22[[#This Row],[BUDGET ]]-Table3__22[[#This Row],[REALISASI ANGGARAN]]</f>
        <v>1247358.9999999981</v>
      </c>
      <c r="BF4" s="2" t="s">
        <v>222</v>
      </c>
      <c r="BG4" s="3">
        <v>110798180</v>
      </c>
      <c r="BJ4" s="2" t="s">
        <v>55</v>
      </c>
      <c r="BK4" s="3">
        <v>168065942</v>
      </c>
      <c r="BL4" s="3">
        <v>158602255</v>
      </c>
      <c r="BO4" s="2" t="s">
        <v>224</v>
      </c>
      <c r="BP4" s="36">
        <v>0.98552525840680194</v>
      </c>
      <c r="BR4" s="2" t="s">
        <v>79</v>
      </c>
      <c r="BS4" s="3">
        <v>72000000</v>
      </c>
      <c r="BT4" s="3">
        <v>77558726</v>
      </c>
    </row>
    <row r="5" spans="12:72" x14ac:dyDescent="0.35">
      <c r="L5" s="41">
        <v>4</v>
      </c>
      <c r="M5" s="41" t="s">
        <v>39</v>
      </c>
      <c r="N5" s="41" t="s">
        <v>224</v>
      </c>
      <c r="O5" s="41" t="s">
        <v>41</v>
      </c>
      <c r="P5" s="49">
        <v>46136</v>
      </c>
      <c r="Q5" s="50">
        <v>32245530</v>
      </c>
      <c r="R5" s="50">
        <f>Table3__22[[#This Row],[NILAI BOQ]]*0.7</f>
        <v>22571871</v>
      </c>
      <c r="S5" s="50">
        <v>22245149</v>
      </c>
      <c r="T5" s="51">
        <f>Table3__22[[#This Row],[REALISASI ANGGARAN]]/Table3__22[[#This Row],[BUDGET ]]</f>
        <v>0.98552525840680194</v>
      </c>
      <c r="U5" s="52">
        <f>Table3__22[[#This Row],[BUDGET ]]-Table3__22[[#This Row],[REALISASI ANGGARAN]]</f>
        <v>326722</v>
      </c>
      <c r="BF5" s="2" t="s">
        <v>223</v>
      </c>
      <c r="BG5" s="3">
        <v>23353370</v>
      </c>
      <c r="BJ5" s="2" t="s">
        <v>39</v>
      </c>
      <c r="BK5" s="3">
        <v>22245149</v>
      </c>
      <c r="BL5" s="3">
        <v>22571871</v>
      </c>
      <c r="BO5" s="2" t="s">
        <v>221</v>
      </c>
      <c r="BP5" s="36">
        <v>0.9550343862833709</v>
      </c>
      <c r="BR5" s="2" t="s">
        <v>80</v>
      </c>
      <c r="BS5" s="3">
        <v>37345149</v>
      </c>
      <c r="BT5" s="3">
        <v>38919230</v>
      </c>
    </row>
    <row r="6" spans="12:72" x14ac:dyDescent="0.35">
      <c r="L6" s="40">
        <v>5</v>
      </c>
      <c r="M6" s="40" t="s">
        <v>66</v>
      </c>
      <c r="N6" s="40" t="s">
        <v>225</v>
      </c>
      <c r="O6" s="40" t="s">
        <v>60</v>
      </c>
      <c r="P6" s="45">
        <v>46150</v>
      </c>
      <c r="Q6" s="46">
        <v>63640718</v>
      </c>
      <c r="R6" s="46">
        <f>Table3__22[[#This Row],[NILAI BOQ]]*0.7</f>
        <v>44548502.599999994</v>
      </c>
      <c r="S6" s="46">
        <v>37942298.099999994</v>
      </c>
      <c r="T6" s="47">
        <f>Table3__22[[#This Row],[REALISASI ANGGARAN]]/Table3__22[[#This Row],[BUDGET ]]</f>
        <v>0.85170759701359744</v>
      </c>
      <c r="U6" s="48">
        <f>Table3__22[[#This Row],[BUDGET ]]-Table3__22[[#This Row],[REALISASI ANGGARAN]]</f>
        <v>6606204.5</v>
      </c>
      <c r="BF6" s="2" t="s">
        <v>224</v>
      </c>
      <c r="BG6" s="3">
        <v>32245530</v>
      </c>
      <c r="BJ6" s="2" t="s">
        <v>66</v>
      </c>
      <c r="BK6" s="3">
        <v>182961559.09999999</v>
      </c>
      <c r="BL6" s="3">
        <v>200178991.59999999</v>
      </c>
      <c r="BO6" s="2" t="s">
        <v>222</v>
      </c>
      <c r="BP6" s="36">
        <v>0.9283288124149951</v>
      </c>
      <c r="BR6" s="2" t="s">
        <v>81</v>
      </c>
      <c r="BS6" s="3">
        <v>206008240.09999999</v>
      </c>
      <c r="BT6" s="3">
        <v>203150757.59999999</v>
      </c>
    </row>
    <row r="7" spans="12:72" x14ac:dyDescent="0.35">
      <c r="L7" s="41">
        <v>6</v>
      </c>
      <c r="M7" s="41" t="s">
        <v>55</v>
      </c>
      <c r="N7" s="41" t="s">
        <v>226</v>
      </c>
      <c r="O7" s="41" t="s">
        <v>59</v>
      </c>
      <c r="P7" s="49">
        <v>46161</v>
      </c>
      <c r="Q7" s="50">
        <v>226574650</v>
      </c>
      <c r="R7" s="50">
        <f>Table3__22[[#This Row],[NILAI BOQ]]*0.7</f>
        <v>158602255</v>
      </c>
      <c r="S7" s="50">
        <v>168065942</v>
      </c>
      <c r="T7" s="51">
        <f>Table3__22[[#This Row],[REALISASI ANGGARAN]]/Table3__22[[#This Row],[BUDGET ]]</f>
        <v>1.0596693092415364</v>
      </c>
      <c r="U7" s="52">
        <f>Table3__22[[#This Row],[BUDGET ]]-Table3__22[[#This Row],[REALISASI ANGGARAN]]</f>
        <v>-9463687</v>
      </c>
      <c r="BF7" s="2" t="s">
        <v>225</v>
      </c>
      <c r="BG7" s="3">
        <v>63640718</v>
      </c>
      <c r="BJ7" s="2" t="s">
        <v>71</v>
      </c>
      <c r="BK7" s="3">
        <v>381736400.10000002</v>
      </c>
      <c r="BL7" s="3">
        <v>391630636.60000002</v>
      </c>
      <c r="BO7" s="2" t="s">
        <v>223</v>
      </c>
      <c r="BP7" s="36">
        <v>0.9236966044484618</v>
      </c>
      <c r="BR7" s="2" t="s">
        <v>199</v>
      </c>
      <c r="BS7" s="3">
        <v>8463750</v>
      </c>
      <c r="BT7" s="3">
        <v>10277519</v>
      </c>
    </row>
    <row r="8" spans="12:72" x14ac:dyDescent="0.35">
      <c r="L8" s="40">
        <v>7</v>
      </c>
      <c r="M8" s="40" t="s">
        <v>42</v>
      </c>
      <c r="N8" s="40" t="s">
        <v>227</v>
      </c>
      <c r="O8" s="40" t="s">
        <v>65</v>
      </c>
      <c r="P8" s="45">
        <v>46183</v>
      </c>
      <c r="Q8" s="46">
        <v>14682170</v>
      </c>
      <c r="R8" s="46">
        <f>Table3__22[[#This Row],[NILAI BOQ]]*0.7</f>
        <v>10277519</v>
      </c>
      <c r="S8" s="46">
        <v>8463750</v>
      </c>
      <c r="T8" s="47">
        <f>Table3__22[[#This Row],[REALISASI ANGGARAN]]/Table3__22[[#This Row],[BUDGET ]]</f>
        <v>0.82352073491666622</v>
      </c>
      <c r="U8" s="48">
        <f>Table3__22[[#This Row],[BUDGET ]]-Table3__22[[#This Row],[REALISASI ANGGARAN]]</f>
        <v>1813769</v>
      </c>
      <c r="BF8" s="2" t="s">
        <v>226</v>
      </c>
      <c r="BG8" s="3">
        <v>226574650</v>
      </c>
      <c r="BO8" s="2" t="s">
        <v>225</v>
      </c>
      <c r="BP8" s="36">
        <v>0.85170759701359744</v>
      </c>
      <c r="BR8" s="2" t="s">
        <v>92</v>
      </c>
      <c r="BS8" s="3">
        <v>4919261</v>
      </c>
      <c r="BT8" s="3">
        <v>6229020</v>
      </c>
    </row>
    <row r="9" spans="12:72" x14ac:dyDescent="0.35">
      <c r="L9" s="41">
        <v>8</v>
      </c>
      <c r="M9" s="41" t="s">
        <v>66</v>
      </c>
      <c r="N9" s="41" t="s">
        <v>228</v>
      </c>
      <c r="O9" s="41" t="s">
        <v>74</v>
      </c>
      <c r="P9" s="49">
        <v>46264</v>
      </c>
      <c r="Q9" s="50">
        <v>8898600</v>
      </c>
      <c r="R9" s="50">
        <f>Table3__22[[#This Row],[NILAI BOQ]]*0.7</f>
        <v>6229020</v>
      </c>
      <c r="S9" s="50">
        <v>4919261</v>
      </c>
      <c r="T9" s="51">
        <f>Table3__22[[#This Row],[REALISASI ANGGARAN]]/Table3__22[[#This Row],[BUDGET ]]</f>
        <v>0.78973273484432538</v>
      </c>
      <c r="U9" s="52">
        <f>Table3__22[[#This Row],[BUDGET ]]-Table3__22[[#This Row],[REALISASI ANGGARAN]]</f>
        <v>1309759</v>
      </c>
      <c r="BF9" s="2" t="s">
        <v>227</v>
      </c>
      <c r="BG9" s="3">
        <v>14682170</v>
      </c>
      <c r="BO9" s="2" t="s">
        <v>227</v>
      </c>
      <c r="BP9" s="36">
        <v>0.82352073491666622</v>
      </c>
    </row>
    <row r="10" spans="12:72" x14ac:dyDescent="0.35">
      <c r="BF10" s="2" t="s">
        <v>228</v>
      </c>
      <c r="BG10" s="3">
        <v>8898600</v>
      </c>
      <c r="BO10" s="2" t="s">
        <v>228</v>
      </c>
      <c r="BP10" s="36">
        <v>0.78973273484432538</v>
      </c>
    </row>
    <row r="11" spans="12:72" x14ac:dyDescent="0.35">
      <c r="BF11" s="2" t="s">
        <v>71</v>
      </c>
      <c r="BG11" s="3">
        <v>559472338</v>
      </c>
      <c r="BO11" s="2" t="s">
        <v>71</v>
      </c>
      <c r="BP11" s="36">
        <v>7.3172154375697556</v>
      </c>
    </row>
    <row r="16" spans="12:72" x14ac:dyDescent="0.35">
      <c r="BF16" s="1" t="s">
        <v>91</v>
      </c>
      <c r="BG16" t="s">
        <v>220</v>
      </c>
      <c r="BJ16" s="1" t="s">
        <v>91</v>
      </c>
      <c r="BK16" t="s">
        <v>213</v>
      </c>
      <c r="BN16" t="s">
        <v>213</v>
      </c>
    </row>
    <row r="17" spans="2:66" x14ac:dyDescent="0.35">
      <c r="BF17" s="2" t="s">
        <v>221</v>
      </c>
      <c r="BG17" s="36">
        <v>0.14170337765653751</v>
      </c>
      <c r="BJ17" s="2" t="s">
        <v>221</v>
      </c>
      <c r="BK17" s="3">
        <v>2495384</v>
      </c>
      <c r="BN17" s="53">
        <v>9894236.4999999981</v>
      </c>
    </row>
    <row r="18" spans="2:66" x14ac:dyDescent="0.35">
      <c r="BF18" s="2" t="s">
        <v>222</v>
      </c>
      <c r="BG18" s="36">
        <v>0.19804049722293865</v>
      </c>
      <c r="BJ18" s="2" t="s">
        <v>222</v>
      </c>
      <c r="BK18" s="3">
        <v>5558726</v>
      </c>
    </row>
    <row r="19" spans="2:66" x14ac:dyDescent="0.35">
      <c r="BF19" s="2" t="s">
        <v>223</v>
      </c>
      <c r="BG19" s="36">
        <v>4.1741777767750871E-2</v>
      </c>
      <c r="BJ19" s="2" t="s">
        <v>223</v>
      </c>
      <c r="BK19" s="3">
        <v>1247358.9999999981</v>
      </c>
    </row>
    <row r="20" spans="2:66" x14ac:dyDescent="0.35">
      <c r="B20" t="s">
        <v>212</v>
      </c>
      <c r="BF20" s="2" t="s">
        <v>224</v>
      </c>
      <c r="BG20" s="36">
        <v>5.7635610931670404E-2</v>
      </c>
      <c r="BJ20" s="2" t="s">
        <v>224</v>
      </c>
      <c r="BK20" s="3">
        <v>326722</v>
      </c>
    </row>
    <row r="21" spans="2:66" x14ac:dyDescent="0.35">
      <c r="BF21" s="2" t="s">
        <v>225</v>
      </c>
      <c r="BG21" s="36">
        <v>0.11375132187500574</v>
      </c>
      <c r="BJ21" s="2" t="s">
        <v>225</v>
      </c>
      <c r="BK21" s="3">
        <v>6606204.5</v>
      </c>
    </row>
    <row r="22" spans="2:66" x14ac:dyDescent="0.35">
      <c r="BF22" s="2" t="s">
        <v>226</v>
      </c>
      <c r="BG22" s="36">
        <v>0.40497918236665348</v>
      </c>
      <c r="BJ22" s="2" t="s">
        <v>226</v>
      </c>
      <c r="BK22" s="3">
        <v>-9463687</v>
      </c>
    </row>
    <row r="23" spans="2:66" x14ac:dyDescent="0.35">
      <c r="BF23" s="2" t="s">
        <v>227</v>
      </c>
      <c r="BG23" s="36">
        <v>2.6242888169387919E-2</v>
      </c>
      <c r="BJ23" s="2" t="s">
        <v>227</v>
      </c>
      <c r="BK23" s="3">
        <v>1813769</v>
      </c>
    </row>
    <row r="24" spans="2:66" x14ac:dyDescent="0.35">
      <c r="BF24" s="2" t="s">
        <v>228</v>
      </c>
      <c r="BG24" s="36">
        <v>1.5905344010055417E-2</v>
      </c>
      <c r="BJ24" s="2" t="s">
        <v>228</v>
      </c>
      <c r="BK24" s="3">
        <v>1309759</v>
      </c>
    </row>
    <row r="25" spans="2:66" x14ac:dyDescent="0.35">
      <c r="BF25" s="2" t="s">
        <v>71</v>
      </c>
      <c r="BG25" s="36">
        <v>1</v>
      </c>
      <c r="BJ25" s="2" t="s">
        <v>71</v>
      </c>
      <c r="BK25" s="3">
        <v>9894236.4999999981</v>
      </c>
    </row>
    <row r="27" spans="2:66" x14ac:dyDescent="0.35">
      <c r="BF27" t="s">
        <v>220</v>
      </c>
    </row>
    <row r="28" spans="2:66" x14ac:dyDescent="0.35">
      <c r="BF28" s="53">
        <v>559472338</v>
      </c>
      <c r="BJ28" t="s">
        <v>209</v>
      </c>
    </row>
    <row r="29" spans="2:66" x14ac:dyDescent="0.35">
      <c r="BJ29" s="53">
        <v>391630636.60000002</v>
      </c>
    </row>
    <row r="32" spans="2:66" x14ac:dyDescent="0.35">
      <c r="BJ32" s="30">
        <f>BJ36/BJ29</f>
        <v>0.97473579547836631</v>
      </c>
    </row>
    <row r="35" spans="62:62" x14ac:dyDescent="0.35">
      <c r="BJ35" t="s">
        <v>211</v>
      </c>
    </row>
    <row r="36" spans="62:62" x14ac:dyDescent="0.35">
      <c r="BJ36" s="53">
        <v>381736400.10000002</v>
      </c>
    </row>
  </sheetData>
  <pageMargins left="0.7" right="0.7" top="0.75" bottom="0.75" header="0.3" footer="0.3"/>
  <pageSetup orientation="portrait" r:id="rId11"/>
  <drawing r:id="rId12"/>
  <tableParts count="1">
    <tablePart r:id="rId13"/>
  </tableParts>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82F61ADA-2EF1-4B25-8820-19F56CAF6C61}">
          <x14:formula1>
            <xm:f>'DATA LOP'!$O$2:$O$5</xm:f>
          </x14:formula1>
          <xm:sqref>M2:M9</xm:sqref>
        </x14:dataValidation>
      </x14:dataValidations>
    </ext>
    <ext xmlns:x14="http://schemas.microsoft.com/office/spreadsheetml/2009/9/main" uri="{A8765BA9-456A-4dab-B4F3-ACF838C121DE}">
      <x14:slicerList>
        <x14:slicer r:id="rId14"/>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F37D53-66D6-4AF0-9D73-BC7574326DF7}">
  <sheetPr>
    <tabColor rgb="FF7030A0"/>
  </sheetPr>
  <dimension ref="A1:K17"/>
  <sheetViews>
    <sheetView workbookViewId="0">
      <pane xSplit="3" ySplit="1" topLeftCell="E2" activePane="bottomRight" state="frozen"/>
      <selection pane="topRight" activeCell="D1" sqref="D1"/>
      <selection pane="bottomLeft" activeCell="A2" sqref="A2"/>
      <selection pane="bottomRight" activeCell="F2" sqref="F2"/>
    </sheetView>
  </sheetViews>
  <sheetFormatPr defaultRowHeight="14.5" x14ac:dyDescent="0.35"/>
  <cols>
    <col min="1" max="1" width="1.81640625" bestFit="1" customWidth="1"/>
    <col min="2" max="2" width="9.1796875" bestFit="1" customWidth="1"/>
    <col min="3" max="3" width="75.90625" bestFit="1" customWidth="1"/>
    <col min="4" max="4" width="35" bestFit="1" customWidth="1"/>
    <col min="5" max="5" width="13.90625" bestFit="1" customWidth="1"/>
    <col min="6" max="8" width="10.90625" bestFit="1" customWidth="1"/>
    <col min="9" max="9" width="13.54296875" customWidth="1"/>
    <col min="10" max="10" width="13.54296875" style="3" customWidth="1"/>
    <col min="11" max="11" width="19.08984375" bestFit="1" customWidth="1"/>
    <col min="12" max="12" width="18.81640625" bestFit="1" customWidth="1"/>
    <col min="13" max="13" width="15.26953125" bestFit="1" customWidth="1"/>
    <col min="14" max="15" width="10.90625" bestFit="1" customWidth="1"/>
  </cols>
  <sheetData>
    <row r="1" spans="1:11" ht="33.5" customHeight="1" x14ac:dyDescent="0.35">
      <c r="A1" s="8" t="s">
        <v>0</v>
      </c>
      <c r="B1" s="8" t="s">
        <v>48</v>
      </c>
      <c r="C1" s="8" t="s">
        <v>47</v>
      </c>
      <c r="D1" s="8" t="s">
        <v>49</v>
      </c>
      <c r="E1" s="8" t="s">
        <v>52</v>
      </c>
      <c r="F1" s="8" t="s">
        <v>219</v>
      </c>
      <c r="G1" s="8" t="s">
        <v>200</v>
      </c>
      <c r="H1" s="28" t="s">
        <v>201</v>
      </c>
      <c r="I1" s="28" t="s">
        <v>204</v>
      </c>
      <c r="J1" s="31" t="s">
        <v>205</v>
      </c>
      <c r="K1" s="8" t="s">
        <v>202</v>
      </c>
    </row>
    <row r="2" spans="1:11" x14ac:dyDescent="0.35">
      <c r="A2">
        <v>1</v>
      </c>
      <c r="B2" t="s">
        <v>66</v>
      </c>
      <c r="C2" t="s">
        <v>50</v>
      </c>
      <c r="D2" t="s">
        <v>13</v>
      </c>
      <c r="E2" s="4">
        <v>46045</v>
      </c>
      <c r="F2" s="3">
        <v>79520570</v>
      </c>
      <c r="G2" s="3">
        <f>Table3__22[[#This Row],[NILAI BOQ]]*0.7</f>
        <v>55664399</v>
      </c>
      <c r="H2" s="3">
        <v>53000000</v>
      </c>
      <c r="I2" s="30">
        <f>Table3__22[[#This Row],[REALISASI ANGGARAN]]/Table3__22[[#This Row],[BUDGET ]]</f>
        <v>0.95213459503982067</v>
      </c>
      <c r="J2" s="32">
        <f>Table3__22[[#This Row],[BUDGET ]]-Table3__22[[#This Row],[REALISASI ANGGARAN]]</f>
        <v>2664399</v>
      </c>
      <c r="K2" s="3" t="str">
        <f>IFERROR(IF(Table3__22[[#This Row],[REALISASI ANGGARAN]]&lt;Table3__22[[#This Row],[BUDGET ]],"BUDGET SURPLUS","OVER BUDGET"),"")</f>
        <v>BUDGET SURPLUS</v>
      </c>
    </row>
    <row r="3" spans="1:11" x14ac:dyDescent="0.35">
      <c r="A3">
        <v>2</v>
      </c>
      <c r="B3" t="s">
        <v>66</v>
      </c>
      <c r="C3" t="s">
        <v>51</v>
      </c>
      <c r="D3" t="s">
        <v>16</v>
      </c>
      <c r="E3" s="4">
        <v>46090</v>
      </c>
      <c r="F3" s="3">
        <v>110798180</v>
      </c>
      <c r="G3" s="3">
        <f>Table3__22[[#This Row],[NILAI BOQ]]*0.7</f>
        <v>77558726</v>
      </c>
      <c r="H3" s="3">
        <v>72000000</v>
      </c>
      <c r="I3" s="30">
        <f>Table3__22[[#This Row],[REALISASI ANGGARAN]]/Table3__22[[#This Row],[BUDGET ]]</f>
        <v>0.9283288124149951</v>
      </c>
      <c r="J3" s="32">
        <f>Table3__22[[#This Row],[BUDGET ]]-Table3__22[[#This Row],[REALISASI ANGGARAN]]</f>
        <v>5558726</v>
      </c>
      <c r="K3" s="3" t="str">
        <f>IFERROR(IF(Table3__22[[#This Row],[REALISASI ANGGARAN]]&lt;Table3__22[[#This Row],[BUDGET ]],"BUDGET SURPLUS","OVER BUDGET"),"")</f>
        <v>BUDGET SURPLUS</v>
      </c>
    </row>
    <row r="4" spans="1:11" x14ac:dyDescent="0.35">
      <c r="A4">
        <v>3</v>
      </c>
      <c r="B4" t="s">
        <v>66</v>
      </c>
      <c r="C4" t="s">
        <v>53</v>
      </c>
      <c r="D4" t="s">
        <v>26</v>
      </c>
      <c r="E4" s="4">
        <v>46132</v>
      </c>
      <c r="F4" s="3">
        <v>23353370</v>
      </c>
      <c r="G4" s="3">
        <f>Table3__22[[#This Row],[NILAI BOQ]]*0.7</f>
        <v>16347358.999999998</v>
      </c>
      <c r="H4" s="3">
        <v>15100000</v>
      </c>
      <c r="I4" s="30">
        <f>Table3__22[[#This Row],[REALISASI ANGGARAN]]/Table3__22[[#This Row],[BUDGET ]]</f>
        <v>0.9236966044484618</v>
      </c>
      <c r="J4" s="32">
        <f>Table3__22[[#This Row],[BUDGET ]]-Table3__22[[#This Row],[REALISASI ANGGARAN]]</f>
        <v>1247358.9999999981</v>
      </c>
      <c r="K4" s="3" t="str">
        <f>IFERROR(IF(Table3__22[[#This Row],[REALISASI ANGGARAN]]&lt;Table3__22[[#This Row],[BUDGET ]],"BUDGET SURPLUS","OVER BUDGET"),"")</f>
        <v>BUDGET SURPLUS</v>
      </c>
    </row>
    <row r="5" spans="1:11" x14ac:dyDescent="0.35">
      <c r="A5">
        <v>4</v>
      </c>
      <c r="B5" t="s">
        <v>39</v>
      </c>
      <c r="C5" t="s">
        <v>56</v>
      </c>
      <c r="D5" t="s">
        <v>41</v>
      </c>
      <c r="E5" s="4">
        <v>46136</v>
      </c>
      <c r="F5" s="3">
        <v>32245530</v>
      </c>
      <c r="G5" s="3">
        <f>Table3__22[[#This Row],[NILAI BOQ]]*0.7</f>
        <v>22571871</v>
      </c>
      <c r="H5" s="3">
        <v>22245149</v>
      </c>
      <c r="I5" s="30">
        <f>Table3__22[[#This Row],[REALISASI ANGGARAN]]/Table3__22[[#This Row],[BUDGET ]]</f>
        <v>0.98552525840680194</v>
      </c>
      <c r="J5" s="32">
        <f>Table3__22[[#This Row],[BUDGET ]]-Table3__22[[#This Row],[REALISASI ANGGARAN]]</f>
        <v>326722</v>
      </c>
      <c r="K5" s="3" t="str">
        <f>IFERROR(IF(Table3__22[[#This Row],[REALISASI ANGGARAN]]&lt;Table3__22[[#This Row],[BUDGET ]],"BUDGET SURPLUS","OVER BUDGET"),"")</f>
        <v>BUDGET SURPLUS</v>
      </c>
    </row>
    <row r="6" spans="1:11" x14ac:dyDescent="0.35">
      <c r="A6">
        <v>5</v>
      </c>
      <c r="B6" t="s">
        <v>66</v>
      </c>
      <c r="C6" t="s">
        <v>58</v>
      </c>
      <c r="D6" t="s">
        <v>60</v>
      </c>
      <c r="E6" s="4">
        <v>46150</v>
      </c>
      <c r="F6" s="3">
        <v>63640718</v>
      </c>
      <c r="G6" s="3">
        <f>Table3__22[[#This Row],[NILAI BOQ]]*0.7</f>
        <v>44548502.599999994</v>
      </c>
      <c r="H6" s="3">
        <v>37942298.099999994</v>
      </c>
      <c r="I6" s="30">
        <f>Table3__22[[#This Row],[REALISASI ANGGARAN]]/Table3__22[[#This Row],[BUDGET ]]</f>
        <v>0.85170759701359744</v>
      </c>
      <c r="J6" s="32">
        <f>Table3__22[[#This Row],[BUDGET ]]-Table3__22[[#This Row],[REALISASI ANGGARAN]]</f>
        <v>6606204.5</v>
      </c>
      <c r="K6" s="3" t="str">
        <f>IFERROR(IF(Table3__22[[#This Row],[REALISASI ANGGARAN]]&lt;Table3__22[[#This Row],[BUDGET ]],"BUDGET SURPLUS","OVER BUDGET"),"")</f>
        <v>BUDGET SURPLUS</v>
      </c>
    </row>
    <row r="7" spans="1:11" x14ac:dyDescent="0.35">
      <c r="A7">
        <v>6</v>
      </c>
      <c r="B7" t="s">
        <v>55</v>
      </c>
      <c r="C7" t="s">
        <v>54</v>
      </c>
      <c r="D7" t="s">
        <v>59</v>
      </c>
      <c r="E7" s="4">
        <v>46161</v>
      </c>
      <c r="F7" s="3">
        <v>226574650</v>
      </c>
      <c r="G7" s="3">
        <f>Table3__22[[#This Row],[NILAI BOQ]]*0.7</f>
        <v>158602255</v>
      </c>
      <c r="H7" s="3">
        <v>168065942</v>
      </c>
      <c r="I7" s="30">
        <f>Table3__22[[#This Row],[REALISASI ANGGARAN]]/Table3__22[[#This Row],[BUDGET ]]</f>
        <v>1.0596693092415364</v>
      </c>
      <c r="J7" s="32">
        <f>Table3__22[[#This Row],[BUDGET ]]-Table3__22[[#This Row],[REALISASI ANGGARAN]]</f>
        <v>-9463687</v>
      </c>
      <c r="K7" s="3" t="str">
        <f>IFERROR(IF(Table3__22[[#This Row],[REALISASI ANGGARAN]]&lt;Table3__22[[#This Row],[BUDGET ]],"BUDGET SURPLUS","OVER BUDGET"),"")</f>
        <v>OVER BUDGET</v>
      </c>
    </row>
    <row r="8" spans="1:11" x14ac:dyDescent="0.35">
      <c r="A8">
        <v>7</v>
      </c>
      <c r="B8" t="s">
        <v>42</v>
      </c>
      <c r="C8" t="s">
        <v>57</v>
      </c>
      <c r="D8" t="s">
        <v>65</v>
      </c>
      <c r="E8" s="4">
        <v>46183</v>
      </c>
      <c r="F8" s="3">
        <f>SUM('DATA LOP'!H24:H27)</f>
        <v>14682170</v>
      </c>
      <c r="G8" s="3">
        <f>Table3__22[[#This Row],[NILAI BOQ]]*0.7</f>
        <v>10277519</v>
      </c>
      <c r="H8" s="3">
        <v>8463750</v>
      </c>
      <c r="I8" s="30">
        <f>Table3__22[[#This Row],[REALISASI ANGGARAN]]/Table3__22[[#This Row],[BUDGET ]]</f>
        <v>0.82352073491666622</v>
      </c>
      <c r="J8" s="32">
        <f>Table3__22[[#This Row],[BUDGET ]]-Table3__22[[#This Row],[REALISASI ANGGARAN]]</f>
        <v>1813769</v>
      </c>
      <c r="K8" s="3" t="str">
        <f>IFERROR(IF(Table3__22[[#This Row],[REALISASI ANGGARAN]]&lt;Table3__22[[#This Row],[BUDGET ]],"BUDGET SURPLUS","OVER BUDGET"),"")</f>
        <v>BUDGET SURPLUS</v>
      </c>
    </row>
    <row r="9" spans="1:11" x14ac:dyDescent="0.35">
      <c r="A9">
        <v>8</v>
      </c>
      <c r="B9" t="s">
        <v>66</v>
      </c>
      <c r="C9" t="s">
        <v>73</v>
      </c>
      <c r="D9" t="s">
        <v>74</v>
      </c>
      <c r="E9" s="4">
        <v>46264</v>
      </c>
      <c r="F9" s="3">
        <v>8898600</v>
      </c>
      <c r="G9" s="3">
        <f>Table3__22[[#This Row],[NILAI BOQ]]*0.7</f>
        <v>6229020</v>
      </c>
      <c r="H9" s="3">
        <v>4919261</v>
      </c>
      <c r="I9" s="30">
        <f>Table3__22[[#This Row],[REALISASI ANGGARAN]]/Table3__22[[#This Row],[BUDGET ]]</f>
        <v>0.78973273484432538</v>
      </c>
      <c r="J9" s="32">
        <f>Table3__22[[#This Row],[BUDGET ]]-Table3__22[[#This Row],[REALISASI ANGGARAN]]</f>
        <v>1309759</v>
      </c>
      <c r="K9" s="3" t="str">
        <f>IFERROR(IF(Table3__22[[#This Row],[REALISASI ANGGARAN]]&lt;Table3__22[[#This Row],[BUDGET ]],"BUDGET SURPLUS","OVER BUDGET"),"")</f>
        <v>BUDGET SURPLUS</v>
      </c>
    </row>
    <row r="10" spans="1:11" ht="29" customHeight="1" thickBot="1" x14ac:dyDescent="0.4">
      <c r="C10" s="8" t="s">
        <v>203</v>
      </c>
      <c r="D10" s="26"/>
      <c r="E10" s="27"/>
      <c r="F10" s="15">
        <f>SUBTOTAL(109,Table3__22[NILAI BOQ])</f>
        <v>559713788</v>
      </c>
      <c r="G10" s="15">
        <f>SUBTOTAL(109,Table3__22[[BUDGET ]])</f>
        <v>391799651.60000002</v>
      </c>
      <c r="H10" s="15">
        <f>SUBTOTAL(109,Table3__22[REALISASI ANGGARAN])</f>
        <v>381736400.10000002</v>
      </c>
      <c r="I10" s="15"/>
      <c r="J10" s="15">
        <f>SUBTOTAL(109,Table3__22[SISA BUDGET])</f>
        <v>10063251.499999998</v>
      </c>
      <c r="K10" s="15">
        <f>Table3__22[[#Totals],[BUDGET ]]-Table3__22[[#Totals],[REALISASI ANGGARAN]]</f>
        <v>10063251.5</v>
      </c>
    </row>
    <row r="11" spans="1:11" x14ac:dyDescent="0.35">
      <c r="F11" s="3"/>
      <c r="G11" s="3"/>
      <c r="H11" s="3"/>
      <c r="I11" s="3"/>
      <c r="K11" s="29">
        <f>Table3__22[[#Totals],[STATUS BUDGET]]/Table3__22[[#Totals],[BUDGET ]]</f>
        <v>2.5684687209150136E-2</v>
      </c>
    </row>
    <row r="12" spans="1:11" x14ac:dyDescent="0.35">
      <c r="F12" s="3"/>
      <c r="G12" s="3"/>
      <c r="H12" s="3"/>
      <c r="I12" s="3"/>
      <c r="K12" s="3"/>
    </row>
    <row r="13" spans="1:11" x14ac:dyDescent="0.35">
      <c r="F13" s="3"/>
      <c r="G13" s="3"/>
      <c r="H13" s="3"/>
      <c r="I13" s="3"/>
      <c r="K13" s="3"/>
    </row>
    <row r="14" spans="1:11" x14ac:dyDescent="0.35">
      <c r="F14" s="3"/>
      <c r="G14" s="3"/>
      <c r="H14" s="3"/>
      <c r="I14" s="3"/>
      <c r="K14" s="3"/>
    </row>
    <row r="15" spans="1:11" x14ac:dyDescent="0.35">
      <c r="F15" s="3"/>
      <c r="G15" s="3"/>
      <c r="H15" s="3"/>
      <c r="I15" s="3"/>
      <c r="K15" s="3"/>
    </row>
    <row r="16" spans="1:11" x14ac:dyDescent="0.35">
      <c r="F16" s="3"/>
      <c r="G16" s="3"/>
      <c r="H16" s="3"/>
      <c r="I16" s="3"/>
      <c r="K16" s="3"/>
    </row>
    <row r="17" spans="7:7" x14ac:dyDescent="0.35">
      <c r="G17" s="3"/>
    </row>
  </sheetData>
  <conditionalFormatting sqref="K2:K9">
    <cfRule type="containsText" dxfId="30" priority="2" operator="containsText" text="OVER BUDGET">
      <formula>NOT(ISERROR(SEARCH("OVER BUDGET",K2)))</formula>
    </cfRule>
  </conditionalFormatting>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EE1D82CF-D92C-4D83-9ABC-666CCC2AFF58}">
          <x14:formula1>
            <xm:f>'DATA LOP'!$O$2:$O$5</xm:f>
          </x14:formula1>
          <xm:sqref>B11:B15 B2:B9</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1DDE16A-DC5C-45C3-9F94-3A6042FAC59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vt:i4>
      </vt:variant>
    </vt:vector>
  </HeadingPairs>
  <TitlesOfParts>
    <vt:vector size="8" baseType="lpstr">
      <vt:lpstr>DASHBOARD</vt:lpstr>
      <vt:lpstr>DATA CASH</vt:lpstr>
      <vt:lpstr>PV</vt:lpstr>
      <vt:lpstr>DATA SP</vt:lpstr>
      <vt:lpstr>DATA LOP</vt:lpstr>
      <vt:lpstr>DASHBORAD PM</vt:lpstr>
      <vt:lpstr>BUDGETING &amp; REALISATION</vt:lpstr>
      <vt:lpstr>DASHBOARD!Print_Area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LENOVO</cp:lastModifiedBy>
  <cp:lastPrinted>2026-08-26T06:47:22Z</cp:lastPrinted>
  <dcterms:created xsi:type="dcterms:W3CDTF">2026-05-13T00:02:08Z</dcterms:created>
  <dcterms:modified xsi:type="dcterms:W3CDTF">2026-09-09T07:07:53Z</dcterms:modified>
</cp:coreProperties>
</file>